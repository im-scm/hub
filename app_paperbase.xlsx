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Supply Chain\Comex\2. IMPORTAÇÃO\Reports\Paper Base\2026\"/>
    </mc:Choice>
  </mc:AlternateContent>
  <xr:revisionPtr revIDLastSave="0" documentId="13_ncr:1_{20A77346-F1AA-4405-9D7F-AAA4BCB78E1E}" xr6:coauthVersionLast="47" xr6:coauthVersionMax="47" xr10:uidLastSave="{00000000-0000-0000-0000-000000000000}"/>
  <bookViews>
    <workbookView xWindow="-120" yWindow="-120" windowWidth="29040" windowHeight="15720" tabRatio="586" activeTab="2" xr2:uid="{459ED73C-C829-4BBC-992C-FE8D911590B9}"/>
  </bookViews>
  <sheets>
    <sheet name="FSC" sheetId="13" r:id="rId1"/>
    <sheet name="Annual Sum" sheetId="16" r:id="rId2"/>
    <sheet name="Reunido" sheetId="2" r:id="rId3"/>
    <sheet name="PAPER BASE" sheetId="11" r:id="rId4"/>
    <sheet name="IMPRESS DISE" sheetId="4" state="hidden" r:id="rId5"/>
    <sheet name="MUNKSJO DET" sheetId="5" state="hidden" r:id="rId6"/>
    <sheet name="TECHNOCELL" sheetId="6" state="hidden" r:id="rId7"/>
    <sheet name="KOEHLER" sheetId="7" state="hidden" r:id="rId8"/>
    <sheet name="MUNKSJO SPA" sheetId="8" state="hidden" r:id="rId9"/>
    <sheet name="CAIEIRAS" sheetId="9" state="hidden" r:id="rId10"/>
    <sheet name="VERDE FORTE" sheetId="10" state="hidden" r:id="rId11"/>
  </sheets>
  <definedNames>
    <definedName name="_xlnm._FilterDatabase" localSheetId="2" hidden="1">Reunido!$A$3:$BR$76</definedName>
  </definedNames>
  <calcPr calcId="191029"/>
  <pivotCaches>
    <pivotCache cacheId="1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" i="11" l="1" a="1"/>
  <c r="H100" i="11" s="1"/>
  <c r="H99" i="11" a="1"/>
  <c r="H99" i="11" s="1"/>
  <c r="H94" i="11" a="1"/>
  <c r="H94" i="11" s="1"/>
  <c r="G116" i="11" a="1"/>
  <c r="G116" i="11" s="1"/>
  <c r="G115" i="11" a="1"/>
  <c r="G115" i="11" s="1"/>
  <c r="G114" i="11" a="1"/>
  <c r="G114" i="11" s="1"/>
  <c r="G113" i="11" a="1"/>
  <c r="G113" i="11" s="1"/>
  <c r="G112" i="11" a="1"/>
  <c r="G112" i="11" s="1"/>
  <c r="G111" i="11" a="1"/>
  <c r="G111" i="11" s="1"/>
  <c r="G110" i="11" a="1"/>
  <c r="G110" i="11" s="1"/>
  <c r="G109" i="11" a="1"/>
  <c r="G109" i="11" s="1"/>
  <c r="G108" i="11" a="1"/>
  <c r="G108" i="11" s="1"/>
  <c r="G107" i="11" a="1"/>
  <c r="G107" i="11" s="1"/>
  <c r="G106" i="11" a="1"/>
  <c r="G106" i="11" s="1"/>
  <c r="G105" i="11" a="1"/>
  <c r="G105" i="11" s="1"/>
  <c r="G104" i="11" a="1"/>
  <c r="G104" i="11" s="1"/>
  <c r="G103" i="11" a="1"/>
  <c r="G103" i="11" s="1"/>
  <c r="G102" i="11" a="1"/>
  <c r="G102" i="11" s="1"/>
  <c r="G101" i="11" a="1"/>
  <c r="G101" i="11" s="1"/>
  <c r="G100" i="11" a="1"/>
  <c r="G100" i="11" s="1"/>
  <c r="G99" i="11" a="1"/>
  <c r="G99" i="11" s="1"/>
  <c r="G98" i="11" a="1"/>
  <c r="G98" i="11" s="1"/>
  <c r="G97" i="11" a="1"/>
  <c r="G97" i="11" s="1"/>
  <c r="G96" i="11" a="1"/>
  <c r="G96" i="11" s="1"/>
  <c r="G95" i="11" a="1"/>
  <c r="G95" i="11" s="1"/>
  <c r="G94" i="11" a="1"/>
  <c r="G94" i="11" s="1"/>
  <c r="G93" i="11" a="1"/>
  <c r="G93" i="11" s="1"/>
  <c r="G92" i="11" a="1"/>
  <c r="G92" i="11" s="1"/>
  <c r="B116" i="11"/>
  <c r="B115" i="11"/>
  <c r="B114" i="11"/>
  <c r="B113" i="11"/>
  <c r="B112" i="11"/>
  <c r="B111" i="11"/>
  <c r="B110" i="11"/>
  <c r="B109" i="11"/>
  <c r="A109" i="11" s="1"/>
  <c r="B108" i="11"/>
  <c r="A108" i="11" s="1"/>
  <c r="B107" i="11"/>
  <c r="A107" i="11" s="1"/>
  <c r="B106" i="11"/>
  <c r="A106" i="11" s="1"/>
  <c r="B105" i="11"/>
  <c r="A105" i="11" s="1"/>
  <c r="B104" i="11"/>
  <c r="B103" i="11"/>
  <c r="B102" i="11"/>
  <c r="B101" i="11"/>
  <c r="B100" i="11"/>
  <c r="B99" i="11"/>
  <c r="B98" i="11"/>
  <c r="B97" i="11"/>
  <c r="A97" i="11" s="1"/>
  <c r="B96" i="11"/>
  <c r="A96" i="11" s="1"/>
  <c r="B95" i="11"/>
  <c r="A95" i="11" s="1"/>
  <c r="B94" i="11"/>
  <c r="A94" i="11" s="1"/>
  <c r="B93" i="11"/>
  <c r="A93" i="11" s="1"/>
  <c r="C116" i="11"/>
  <c r="J116" i="11" s="1"/>
  <c r="C115" i="11"/>
  <c r="J115" i="11" s="1"/>
  <c r="C114" i="11"/>
  <c r="J114" i="11" s="1"/>
  <c r="C113" i="11"/>
  <c r="J113" i="11" s="1"/>
  <c r="C112" i="11"/>
  <c r="J112" i="11" s="1"/>
  <c r="C111" i="11"/>
  <c r="J111" i="11" s="1"/>
  <c r="C110" i="11"/>
  <c r="J110" i="11" s="1"/>
  <c r="C109" i="11"/>
  <c r="J109" i="11" s="1"/>
  <c r="C108" i="11"/>
  <c r="J108" i="11" s="1"/>
  <c r="C107" i="11"/>
  <c r="J107" i="11" s="1"/>
  <c r="C106" i="11"/>
  <c r="J106" i="11" s="1"/>
  <c r="C105" i="11"/>
  <c r="J105" i="11" s="1"/>
  <c r="C104" i="11"/>
  <c r="J104" i="11" s="1"/>
  <c r="C103" i="11"/>
  <c r="J103" i="11" s="1"/>
  <c r="C102" i="11"/>
  <c r="J102" i="11" s="1"/>
  <c r="C101" i="11"/>
  <c r="J101" i="11" s="1"/>
  <c r="C100" i="11"/>
  <c r="J100" i="11" s="1"/>
  <c r="C99" i="11"/>
  <c r="J99" i="11" s="1"/>
  <c r="C98" i="11"/>
  <c r="J98" i="11" s="1"/>
  <c r="C97" i="11"/>
  <c r="J97" i="11" s="1"/>
  <c r="C96" i="11"/>
  <c r="J96" i="11" s="1"/>
  <c r="C95" i="11"/>
  <c r="J95" i="11" s="1"/>
  <c r="C94" i="11"/>
  <c r="J94" i="11" s="1"/>
  <c r="C93" i="11"/>
  <c r="C92" i="11"/>
  <c r="B92" i="11"/>
  <c r="A92" i="11" s="1"/>
  <c r="G91" i="11" a="1"/>
  <c r="G91" i="11" s="1"/>
  <c r="G90" i="11" a="1"/>
  <c r="G90" i="11" s="1"/>
  <c r="G89" i="11" a="1"/>
  <c r="G89" i="11" s="1"/>
  <c r="G88" i="11" a="1"/>
  <c r="G88" i="11" s="1"/>
  <c r="G87" i="11" a="1"/>
  <c r="G87" i="11" s="1"/>
  <c r="G86" i="11" a="1"/>
  <c r="G86" i="11" s="1"/>
  <c r="G85" i="11" a="1"/>
  <c r="G85" i="11" s="1"/>
  <c r="G84" i="11" a="1"/>
  <c r="G84" i="11" s="1"/>
  <c r="G83" i="11" a="1"/>
  <c r="G83" i="11" s="1"/>
  <c r="G82" i="11" a="1"/>
  <c r="G82" i="11" s="1"/>
  <c r="G81" i="11" a="1"/>
  <c r="G81" i="11" s="1"/>
  <c r="G80" i="11" a="1"/>
  <c r="G80" i="11" s="1"/>
  <c r="G79" i="11" a="1"/>
  <c r="G79" i="11" s="1"/>
  <c r="G78" i="11" a="1"/>
  <c r="G78" i="11" s="1"/>
  <c r="G77" i="11" a="1"/>
  <c r="G77" i="11" s="1"/>
  <c r="G76" i="11" a="1"/>
  <c r="G76" i="11" s="1"/>
  <c r="C91" i="11"/>
  <c r="J91" i="11" s="1"/>
  <c r="C90" i="11"/>
  <c r="J90" i="11" s="1"/>
  <c r="C89" i="11"/>
  <c r="J89" i="11" s="1"/>
  <c r="C88" i="11"/>
  <c r="J88" i="11" s="1"/>
  <c r="C87" i="11"/>
  <c r="J87" i="11" s="1"/>
  <c r="C86" i="11"/>
  <c r="J86" i="11" s="1"/>
  <c r="C85" i="11"/>
  <c r="J85" i="11" s="1"/>
  <c r="C84" i="11"/>
  <c r="J84" i="11" s="1"/>
  <c r="C83" i="11"/>
  <c r="J83" i="11" s="1"/>
  <c r="C82" i="11"/>
  <c r="J82" i="11" s="1"/>
  <c r="C81" i="11"/>
  <c r="J81" i="11" s="1"/>
  <c r="C80" i="11"/>
  <c r="J80" i="11" s="1"/>
  <c r="C79" i="11"/>
  <c r="J79" i="11" s="1"/>
  <c r="C78" i="11"/>
  <c r="J78" i="11" s="1"/>
  <c r="C77" i="11"/>
  <c r="J77" i="11" s="1"/>
  <c r="C76" i="11"/>
  <c r="J76" i="11" s="1"/>
  <c r="B91" i="11"/>
  <c r="A91" i="11" s="1"/>
  <c r="B90" i="11"/>
  <c r="A90" i="11" s="1"/>
  <c r="B89" i="11"/>
  <c r="A89" i="11" s="1"/>
  <c r="B88" i="11"/>
  <c r="A88" i="11" s="1"/>
  <c r="B87" i="11"/>
  <c r="A87" i="11" s="1"/>
  <c r="B86" i="11"/>
  <c r="A86" i="11" s="1"/>
  <c r="B85" i="11"/>
  <c r="A85" i="11" s="1"/>
  <c r="B84" i="11"/>
  <c r="A84" i="11" s="1"/>
  <c r="B83" i="11"/>
  <c r="A83" i="11" s="1"/>
  <c r="B82" i="11"/>
  <c r="A82" i="11" s="1"/>
  <c r="B81" i="11"/>
  <c r="A81" i="11" s="1"/>
  <c r="B80" i="11"/>
  <c r="A80" i="11" s="1"/>
  <c r="B79" i="11"/>
  <c r="A79" i="11" s="1"/>
  <c r="B78" i="11"/>
  <c r="A78" i="11" s="1"/>
  <c r="B77" i="11"/>
  <c r="A77" i="11" s="1"/>
  <c r="B76" i="11"/>
  <c r="A76" i="11" s="1"/>
  <c r="J93" i="11"/>
  <c r="J92" i="11"/>
  <c r="AH70" i="2"/>
  <c r="H114" i="11" s="1" a="1"/>
  <c r="H114" i="11" s="1"/>
  <c r="AF70" i="2"/>
  <c r="AH55" i="2"/>
  <c r="H108" i="11" s="1" a="1"/>
  <c r="H108" i="11" s="1"/>
  <c r="AF55" i="2"/>
  <c r="AH52" i="2"/>
  <c r="H107" i="11" s="1" a="1"/>
  <c r="H107" i="11" s="1"/>
  <c r="AF52" i="2"/>
  <c r="AH50" i="2"/>
  <c r="H106" i="11" s="1" a="1"/>
  <c r="H106" i="11" s="1"/>
  <c r="AF50" i="2"/>
  <c r="AH48" i="2"/>
  <c r="H105" i="11" s="1" a="1"/>
  <c r="H105" i="11" s="1"/>
  <c r="AF48" i="2"/>
  <c r="AH43" i="2"/>
  <c r="H104" i="11" s="1" a="1"/>
  <c r="H104" i="11" s="1"/>
  <c r="AF43" i="2"/>
  <c r="AH42" i="2"/>
  <c r="H103" i="11" s="1" a="1"/>
  <c r="H103" i="11" s="1"/>
  <c r="AF42" i="2"/>
  <c r="AH22" i="2"/>
  <c r="H95" i="11" s="1" a="1"/>
  <c r="H95" i="11" s="1"/>
  <c r="AF22" i="2"/>
  <c r="AH11" i="2"/>
  <c r="H93" i="11" s="1" a="1"/>
  <c r="H93" i="11" s="1"/>
  <c r="AF11" i="2"/>
  <c r="AH10" i="2"/>
  <c r="H92" i="11" s="1" a="1"/>
  <c r="H92" i="11" s="1"/>
  <c r="AF10" i="2"/>
  <c r="AH64" i="2"/>
  <c r="H111" i="11" s="1" a="1"/>
  <c r="H111" i="11" s="1"/>
  <c r="AF64" i="2"/>
  <c r="AH59" i="2"/>
  <c r="H110" i="11" s="1" a="1"/>
  <c r="H110" i="11" s="1"/>
  <c r="AF59" i="2"/>
  <c r="AH58" i="2"/>
  <c r="H109" i="11" s="1" a="1"/>
  <c r="H109" i="11" s="1"/>
  <c r="AF58" i="2"/>
  <c r="AF37" i="2"/>
  <c r="AH37" i="2"/>
  <c r="H101" i="11" s="1" a="1"/>
  <c r="H101" i="11" s="1"/>
  <c r="BN76" i="2"/>
  <c r="BM76" i="2"/>
  <c r="BN75" i="2"/>
  <c r="BM75" i="2"/>
  <c r="BN27" i="2"/>
  <c r="BM27" i="2"/>
  <c r="BN25" i="2"/>
  <c r="BM25" i="2"/>
  <c r="BN24" i="2"/>
  <c r="BM24" i="2"/>
  <c r="BN66" i="2"/>
  <c r="BM66" i="2"/>
  <c r="BN65" i="2"/>
  <c r="BM65" i="2"/>
  <c r="BN40" i="2"/>
  <c r="BM40" i="2"/>
  <c r="AH76" i="2"/>
  <c r="BO76" i="2" s="1"/>
  <c r="AH75" i="2"/>
  <c r="BO75" i="2" s="1"/>
  <c r="AH27" i="2"/>
  <c r="BO27" i="2" s="1"/>
  <c r="AH25" i="2"/>
  <c r="BO25" i="2" s="1"/>
  <c r="AH24" i="2"/>
  <c r="BO24" i="2" s="1"/>
  <c r="AH66" i="2"/>
  <c r="BO66" i="2" s="1"/>
  <c r="AH65" i="2"/>
  <c r="BO65" i="2" s="1"/>
  <c r="AH40" i="2"/>
  <c r="BO40" i="2" s="1"/>
  <c r="AF76" i="2"/>
  <c r="AF75" i="2"/>
  <c r="AF27" i="2"/>
  <c r="AF25" i="2"/>
  <c r="AF24" i="2"/>
  <c r="AF66" i="2"/>
  <c r="AF65" i="2"/>
  <c r="AF40" i="2"/>
  <c r="G11" i="13"/>
  <c r="H11" i="13"/>
  <c r="H23" i="13" s="1"/>
  <c r="H15" i="13"/>
  <c r="H24" i="13" s="1"/>
  <c r="G15" i="13"/>
  <c r="G271" i="11" a="1"/>
  <c r="G271" i="11" s="1"/>
  <c r="G270" i="11" a="1"/>
  <c r="G270" i="11" s="1"/>
  <c r="G269" i="11" a="1"/>
  <c r="G269" i="11" s="1"/>
  <c r="G268" i="11" a="1"/>
  <c r="G268" i="11" s="1"/>
  <c r="G267" i="11" a="1"/>
  <c r="G267" i="11" s="1"/>
  <c r="G266" i="11" a="1"/>
  <c r="G266" i="11" s="1"/>
  <c r="G265" i="11" a="1"/>
  <c r="G265" i="11" s="1"/>
  <c r="G264" i="11" a="1"/>
  <c r="G264" i="11" s="1"/>
  <c r="G263" i="11" a="1"/>
  <c r="G263" i="11" s="1"/>
  <c r="G262" i="11" a="1"/>
  <c r="G262" i="11" s="1"/>
  <c r="G261" i="11" a="1"/>
  <c r="G261" i="11" s="1"/>
  <c r="G260" i="11" a="1"/>
  <c r="G260" i="11" s="1"/>
  <c r="G259" i="11" a="1"/>
  <c r="G259" i="11" s="1"/>
  <c r="G258" i="11" a="1"/>
  <c r="G258" i="11" s="1"/>
  <c r="G257" i="11" a="1"/>
  <c r="G257" i="11" s="1"/>
  <c r="G256" i="11" a="1"/>
  <c r="G256" i="11" s="1"/>
  <c r="C271" i="11"/>
  <c r="J271" i="11" s="1"/>
  <c r="C270" i="11"/>
  <c r="J270" i="11" s="1"/>
  <c r="C269" i="11"/>
  <c r="J269" i="11" s="1"/>
  <c r="C268" i="11"/>
  <c r="J268" i="11" s="1"/>
  <c r="C267" i="11"/>
  <c r="J267" i="11" s="1"/>
  <c r="C266" i="11"/>
  <c r="J266" i="11" s="1"/>
  <c r="C265" i="11"/>
  <c r="J265" i="11" s="1"/>
  <c r="C264" i="11"/>
  <c r="J264" i="11" s="1"/>
  <c r="C263" i="11"/>
  <c r="J263" i="11" s="1"/>
  <c r="C262" i="11"/>
  <c r="J262" i="11" s="1"/>
  <c r="C261" i="11"/>
  <c r="J261" i="11" s="1"/>
  <c r="C260" i="11"/>
  <c r="J260" i="11" s="1"/>
  <c r="C259" i="11"/>
  <c r="J259" i="11" s="1"/>
  <c r="C258" i="11"/>
  <c r="J258" i="11" s="1"/>
  <c r="C257" i="11"/>
  <c r="J257" i="11" s="1"/>
  <c r="C256" i="11"/>
  <c r="J256" i="11" s="1"/>
  <c r="B271" i="11"/>
  <c r="A271" i="11" s="1"/>
  <c r="B270" i="11"/>
  <c r="A270" i="11" s="1"/>
  <c r="B269" i="11"/>
  <c r="A269" i="11" s="1"/>
  <c r="B268" i="11"/>
  <c r="A268" i="11" s="1"/>
  <c r="B267" i="11"/>
  <c r="A267" i="11" s="1"/>
  <c r="B266" i="11"/>
  <c r="A266" i="11" s="1"/>
  <c r="B265" i="11"/>
  <c r="A265" i="11" s="1"/>
  <c r="B264" i="11"/>
  <c r="A264" i="11" s="1"/>
  <c r="B263" i="11"/>
  <c r="A263" i="11" s="1"/>
  <c r="B262" i="11"/>
  <c r="A262" i="11" s="1"/>
  <c r="B261" i="11"/>
  <c r="A261" i="11" s="1"/>
  <c r="B260" i="11"/>
  <c r="A260" i="11" s="1"/>
  <c r="B259" i="11"/>
  <c r="A259" i="11" s="1"/>
  <c r="B258" i="11"/>
  <c r="A258" i="11" s="1"/>
  <c r="B257" i="11"/>
  <c r="A257" i="11" s="1"/>
  <c r="B256" i="11"/>
  <c r="A256" i="11" s="1"/>
  <c r="B75" i="11"/>
  <c r="A75" i="11" s="1"/>
  <c r="AC52" i="2"/>
  <c r="H84" i="11" s="1" a="1"/>
  <c r="H84" i="11" s="1"/>
  <c r="H262" i="11" a="1"/>
  <c r="H262" i="11" s="1"/>
  <c r="AC71" i="2"/>
  <c r="H266" i="11" s="1" a="1"/>
  <c r="H266" i="11" s="1"/>
  <c r="AA71" i="2"/>
  <c r="AC55" i="2"/>
  <c r="H263" i="11" s="1" a="1"/>
  <c r="H263" i="11" s="1"/>
  <c r="AA55" i="2"/>
  <c r="AA52" i="2"/>
  <c r="AC59" i="2"/>
  <c r="H265" i="11" s="1" a="1"/>
  <c r="H265" i="11" s="1"/>
  <c r="AA59" i="2"/>
  <c r="AC58" i="2"/>
  <c r="H264" i="11" s="1" a="1"/>
  <c r="H264" i="11" s="1"/>
  <c r="AA58" i="2"/>
  <c r="AC37" i="2"/>
  <c r="H260" i="11" s="1" a="1"/>
  <c r="H260" i="11" s="1"/>
  <c r="AA37" i="2"/>
  <c r="AC32" i="2"/>
  <c r="H259" i="11" s="1" a="1"/>
  <c r="H259" i="11" s="1"/>
  <c r="AA32" i="2"/>
  <c r="AC49" i="2"/>
  <c r="H261" i="11" s="1" a="1"/>
  <c r="H261" i="11" s="1"/>
  <c r="AA49" i="2"/>
  <c r="AC23" i="2"/>
  <c r="H258" i="11" s="1" a="1"/>
  <c r="H258" i="11" s="1"/>
  <c r="AA23" i="2"/>
  <c r="AC22" i="2"/>
  <c r="H257" i="11" s="1" a="1"/>
  <c r="H257" i="11" s="1"/>
  <c r="AA22" i="2"/>
  <c r="BM64" i="2"/>
  <c r="BN64" i="2"/>
  <c r="BM35" i="2"/>
  <c r="BN35" i="2"/>
  <c r="BM36" i="2"/>
  <c r="BN36" i="2"/>
  <c r="BM56" i="2"/>
  <c r="BN56" i="2"/>
  <c r="BM57" i="2"/>
  <c r="BN57" i="2"/>
  <c r="BN72" i="2"/>
  <c r="BM71" i="2"/>
  <c r="BM74" i="2"/>
  <c r="BM46" i="2"/>
  <c r="AC10" i="2"/>
  <c r="H256" i="11" s="1" a="1"/>
  <c r="H256" i="11" s="1"/>
  <c r="AA10" i="2"/>
  <c r="AC64" i="2"/>
  <c r="H267" i="11" s="1" a="1"/>
  <c r="H267" i="11" s="1"/>
  <c r="AC35" i="2"/>
  <c r="H268" i="11" s="1" a="1"/>
  <c r="H268" i="11" s="1"/>
  <c r="AC36" i="2"/>
  <c r="H269" i="11" s="1" a="1"/>
  <c r="H269" i="11" s="1"/>
  <c r="AC56" i="2"/>
  <c r="H270" i="11" s="1" a="1"/>
  <c r="H270" i="11" s="1"/>
  <c r="AC57" i="2"/>
  <c r="H271" i="11" s="1" a="1"/>
  <c r="H271" i="11" s="1"/>
  <c r="X53" i="2"/>
  <c r="BO53" i="2" s="1"/>
  <c r="V71" i="2"/>
  <c r="AA64" i="2"/>
  <c r="AA35" i="2"/>
  <c r="AA36" i="2"/>
  <c r="AA56" i="2"/>
  <c r="AA57" i="2"/>
  <c r="V74" i="2"/>
  <c r="X64" i="2"/>
  <c r="X35" i="2"/>
  <c r="X36" i="2"/>
  <c r="X56" i="2"/>
  <c r="X57" i="2"/>
  <c r="V64" i="2"/>
  <c r="V35" i="2"/>
  <c r="V36" i="2"/>
  <c r="V56" i="2"/>
  <c r="V57" i="2"/>
  <c r="X5" i="2"/>
  <c r="H49" i="11" s="1" a="1"/>
  <c r="H49" i="11" s="1"/>
  <c r="V5" i="2"/>
  <c r="G75" i="11" a="1"/>
  <c r="G75" i="11" s="1"/>
  <c r="J72" i="11"/>
  <c r="F15" i="13"/>
  <c r="F24" i="13" s="1"/>
  <c r="G74" i="11" a="1"/>
  <c r="G74" i="11" s="1"/>
  <c r="G73" i="11" a="1"/>
  <c r="G73" i="11" s="1"/>
  <c r="G72" i="11" a="1"/>
  <c r="G72" i="11" s="1"/>
  <c r="G71" i="11" a="1"/>
  <c r="G71" i="11" s="1"/>
  <c r="G70" i="11" a="1"/>
  <c r="G70" i="11" s="1"/>
  <c r="G69" i="11" a="1"/>
  <c r="G69" i="11" s="1"/>
  <c r="G68" i="11" a="1"/>
  <c r="G68" i="11" s="1"/>
  <c r="G67" i="11" a="1"/>
  <c r="G67" i="11" s="1"/>
  <c r="G66" i="11" a="1"/>
  <c r="G66" i="11" s="1"/>
  <c r="G65" i="11" a="1"/>
  <c r="G65" i="11" s="1"/>
  <c r="G64" i="11" a="1"/>
  <c r="G64" i="11" s="1"/>
  <c r="G63" i="11" a="1"/>
  <c r="G63" i="11" s="1"/>
  <c r="G62" i="11" a="1"/>
  <c r="G62" i="11" s="1"/>
  <c r="C75" i="11"/>
  <c r="J75" i="11" s="1"/>
  <c r="C74" i="11"/>
  <c r="J74" i="11" s="1"/>
  <c r="C73" i="11"/>
  <c r="J73" i="11" s="1"/>
  <c r="C71" i="11"/>
  <c r="J71" i="11" s="1"/>
  <c r="C70" i="11"/>
  <c r="J70" i="11" s="1"/>
  <c r="C69" i="11"/>
  <c r="J69" i="11" s="1"/>
  <c r="C68" i="11"/>
  <c r="J68" i="11" s="1"/>
  <c r="C67" i="11"/>
  <c r="J67" i="11" s="1"/>
  <c r="C66" i="11"/>
  <c r="J66" i="11" s="1"/>
  <c r="C65" i="11"/>
  <c r="J65" i="11" s="1"/>
  <c r="C64" i="11"/>
  <c r="J64" i="11" s="1"/>
  <c r="C63" i="11"/>
  <c r="J63" i="11" s="1"/>
  <c r="C62" i="11"/>
  <c r="J62" i="11" s="1"/>
  <c r="C61" i="11"/>
  <c r="J61" i="11" s="1"/>
  <c r="C60" i="11"/>
  <c r="J60" i="11" s="1"/>
  <c r="C59" i="11"/>
  <c r="J59" i="11" s="1"/>
  <c r="C58" i="11"/>
  <c r="J58" i="11" s="1"/>
  <c r="C57" i="11"/>
  <c r="J57" i="11" s="1"/>
  <c r="C56" i="11"/>
  <c r="J56" i="11" s="1"/>
  <c r="C55" i="11"/>
  <c r="J55" i="11" s="1"/>
  <c r="C54" i="11"/>
  <c r="J54" i="11" s="1"/>
  <c r="C53" i="11"/>
  <c r="J53" i="11" s="1"/>
  <c r="C52" i="11"/>
  <c r="J52" i="11" s="1"/>
  <c r="C51" i="11"/>
  <c r="J51" i="11" s="1"/>
  <c r="C50" i="11"/>
  <c r="J50" i="11" s="1"/>
  <c r="C49" i="11"/>
  <c r="J49" i="11" s="1"/>
  <c r="B74" i="11"/>
  <c r="A74" i="11" s="1"/>
  <c r="B73" i="11"/>
  <c r="A73" i="11" s="1"/>
  <c r="B72" i="11"/>
  <c r="A72" i="11" s="1"/>
  <c r="B71" i="11"/>
  <c r="A71" i="11" s="1"/>
  <c r="B70" i="11"/>
  <c r="A70" i="11" s="1"/>
  <c r="B69" i="11"/>
  <c r="A69" i="11" s="1"/>
  <c r="B68" i="11"/>
  <c r="B67" i="11"/>
  <c r="B66" i="11"/>
  <c r="B65" i="11"/>
  <c r="A65" i="11" s="1"/>
  <c r="B64" i="11"/>
  <c r="A64" i="11" s="1"/>
  <c r="B63" i="11"/>
  <c r="A63" i="11" s="1"/>
  <c r="B62" i="11"/>
  <c r="A62" i="11" s="1"/>
  <c r="B61" i="11"/>
  <c r="A61" i="11" s="1"/>
  <c r="B60" i="11"/>
  <c r="A60" i="11" s="1"/>
  <c r="B59" i="11"/>
  <c r="A59" i="11" s="1"/>
  <c r="B58" i="11"/>
  <c r="A58" i="11" s="1"/>
  <c r="B57" i="11"/>
  <c r="A57" i="11" s="1"/>
  <c r="B56" i="11"/>
  <c r="A56" i="11" s="1"/>
  <c r="B55" i="11"/>
  <c r="A55" i="11" s="1"/>
  <c r="B54" i="11"/>
  <c r="A54" i="11" s="1"/>
  <c r="B53" i="11"/>
  <c r="A53" i="11" s="1"/>
  <c r="B52" i="11"/>
  <c r="A52" i="11" s="1"/>
  <c r="B51" i="11"/>
  <c r="A51" i="11" s="1"/>
  <c r="B50" i="11"/>
  <c r="A50" i="11" s="1"/>
  <c r="B49" i="11"/>
  <c r="A49" i="11" s="1"/>
  <c r="G49" i="11" a="1"/>
  <c r="G49" i="11" s="1"/>
  <c r="G61" i="11" a="1"/>
  <c r="G61" i="11" s="1"/>
  <c r="X71" i="2"/>
  <c r="H74" i="11" s="1" a="1"/>
  <c r="H74" i="11" s="1"/>
  <c r="X70" i="2"/>
  <c r="H73" i="11" s="1" a="1"/>
  <c r="H73" i="11" s="1"/>
  <c r="V70" i="2"/>
  <c r="S59" i="2"/>
  <c r="H25" i="11" s="1" a="1"/>
  <c r="H25" i="11" s="1"/>
  <c r="Q59" i="2"/>
  <c r="S58" i="2"/>
  <c r="H24" i="11" s="1" a="1"/>
  <c r="H24" i="11" s="1"/>
  <c r="Q58" i="2"/>
  <c r="X50" i="2"/>
  <c r="H66" i="11" s="1" a="1"/>
  <c r="H66" i="11" s="1"/>
  <c r="V50" i="2"/>
  <c r="X42" i="2"/>
  <c r="H65" i="11" s="1" a="1"/>
  <c r="H65" i="11" s="1"/>
  <c r="V42" i="2"/>
  <c r="S37" i="2"/>
  <c r="H37" i="11" s="1" a="1"/>
  <c r="H37" i="11" s="1"/>
  <c r="Q37" i="2"/>
  <c r="X33" i="2"/>
  <c r="H63" i="11" s="1" a="1"/>
  <c r="H63" i="11" s="1"/>
  <c r="V33" i="2"/>
  <c r="X32" i="2"/>
  <c r="H62" i="11" s="1" a="1"/>
  <c r="H62" i="11" s="1"/>
  <c r="V32" i="2"/>
  <c r="X31" i="2"/>
  <c r="H61" i="11" s="1" a="1"/>
  <c r="H61" i="11" s="1"/>
  <c r="V31" i="2"/>
  <c r="BN74" i="2"/>
  <c r="BN55" i="2"/>
  <c r="BM55" i="2"/>
  <c r="BN54" i="2"/>
  <c r="BM54" i="2"/>
  <c r="BN53" i="2"/>
  <c r="BM53" i="2"/>
  <c r="BN37" i="2"/>
  <c r="BM37" i="2"/>
  <c r="BN18" i="2"/>
  <c r="BM18" i="2"/>
  <c r="BN14" i="2"/>
  <c r="BM14" i="2"/>
  <c r="BN13" i="2"/>
  <c r="BM13" i="2"/>
  <c r="BN17" i="2"/>
  <c r="BM17" i="2"/>
  <c r="BN16" i="2"/>
  <c r="BM16" i="2"/>
  <c r="BN12" i="2"/>
  <c r="BM12" i="2"/>
  <c r="BN15" i="2"/>
  <c r="BM15" i="2"/>
  <c r="BN60" i="2"/>
  <c r="BM60" i="2"/>
  <c r="BN59" i="2"/>
  <c r="BM59" i="2"/>
  <c r="BN58" i="2"/>
  <c r="BM58" i="2"/>
  <c r="BN11" i="2"/>
  <c r="BM11" i="2"/>
  <c r="BN10" i="2"/>
  <c r="BM10" i="2"/>
  <c r="BN7" i="2"/>
  <c r="BM7" i="2"/>
  <c r="BN6" i="2"/>
  <c r="BM6" i="2"/>
  <c r="BN5" i="2"/>
  <c r="BM5" i="2"/>
  <c r="V6" i="2"/>
  <c r="V7" i="2"/>
  <c r="V10" i="2"/>
  <c r="V11" i="2"/>
  <c r="V58" i="2"/>
  <c r="V59" i="2"/>
  <c r="V60" i="2"/>
  <c r="V15" i="2"/>
  <c r="V12" i="2"/>
  <c r="V16" i="2"/>
  <c r="V17" i="2"/>
  <c r="V13" i="2"/>
  <c r="V14" i="2"/>
  <c r="V18" i="2"/>
  <c r="V37" i="2"/>
  <c r="V53" i="2"/>
  <c r="V54" i="2"/>
  <c r="V55" i="2"/>
  <c r="Q70" i="2"/>
  <c r="X6" i="2"/>
  <c r="BO6" i="2" s="1"/>
  <c r="X7" i="2"/>
  <c r="BO7" i="2" s="1"/>
  <c r="X10" i="2"/>
  <c r="BO10" i="2" s="1"/>
  <c r="X11" i="2"/>
  <c r="BO11" i="2" s="1"/>
  <c r="X58" i="2"/>
  <c r="H70" i="11" s="1" a="1"/>
  <c r="H70" i="11" s="1"/>
  <c r="X59" i="2"/>
  <c r="H71" i="11" s="1" a="1"/>
  <c r="H71" i="11" s="1"/>
  <c r="X60" i="2"/>
  <c r="BO60" i="2" s="1"/>
  <c r="X15" i="2"/>
  <c r="BO15" i="2" s="1"/>
  <c r="X12" i="2"/>
  <c r="BO12" i="2" s="1"/>
  <c r="X16" i="2"/>
  <c r="BO16" i="2" s="1"/>
  <c r="X17" i="2"/>
  <c r="H59" i="11" s="1" a="1"/>
  <c r="H59" i="11" s="1"/>
  <c r="X13" i="2"/>
  <c r="BO13" i="2" s="1"/>
  <c r="X14" i="2"/>
  <c r="BO14" i="2" s="1"/>
  <c r="X18" i="2"/>
  <c r="BO18" i="2" s="1"/>
  <c r="X37" i="2"/>
  <c r="H64" i="11" s="1" a="1"/>
  <c r="H64" i="11" s="1"/>
  <c r="X54" i="2"/>
  <c r="BO54" i="2" s="1"/>
  <c r="X55" i="2"/>
  <c r="BO55" i="2" s="1"/>
  <c r="X74" i="2"/>
  <c r="BO74" i="2" s="1"/>
  <c r="BO5" i="2"/>
  <c r="G60" i="11" a="1"/>
  <c r="G60" i="11" s="1"/>
  <c r="G59" i="11" a="1"/>
  <c r="G59" i="11" s="1"/>
  <c r="G58" i="11" a="1"/>
  <c r="G58" i="11" s="1"/>
  <c r="G57" i="11" a="1"/>
  <c r="G57" i="11" s="1"/>
  <c r="G56" i="11" a="1"/>
  <c r="G56" i="11" s="1"/>
  <c r="G55" i="11" a="1"/>
  <c r="G55" i="11" s="1"/>
  <c r="G54" i="11" a="1"/>
  <c r="G54" i="11" s="1"/>
  <c r="G53" i="11" a="1"/>
  <c r="G53" i="11" s="1"/>
  <c r="G52" i="11" a="1"/>
  <c r="G52" i="11" s="1"/>
  <c r="G51" i="11" a="1"/>
  <c r="G51" i="11" s="1"/>
  <c r="G50" i="11" a="1"/>
  <c r="G50" i="11" s="1"/>
  <c r="H23" i="11" a="1"/>
  <c r="H23" i="11" s="1"/>
  <c r="H22" i="11" a="1"/>
  <c r="H22" i="11" s="1"/>
  <c r="H21" i="11" a="1"/>
  <c r="H21" i="11" s="1"/>
  <c r="H20" i="11" a="1"/>
  <c r="H20" i="11" s="1"/>
  <c r="H19" i="11" a="1"/>
  <c r="H19" i="11" s="1"/>
  <c r="H18" i="11" a="1"/>
  <c r="H18" i="11" s="1"/>
  <c r="H17" i="11" a="1"/>
  <c r="H17" i="11" s="1"/>
  <c r="H16" i="11" a="1"/>
  <c r="H16" i="11" s="1"/>
  <c r="H15" i="11" a="1"/>
  <c r="H15" i="11" s="1"/>
  <c r="H14" i="11" a="1"/>
  <c r="H14" i="11" s="1"/>
  <c r="H13" i="11" a="1"/>
  <c r="H13" i="11" s="1"/>
  <c r="H12" i="11" a="1"/>
  <c r="H12" i="11" s="1"/>
  <c r="H11" i="11" a="1"/>
  <c r="H11" i="11" s="1"/>
  <c r="H10" i="11" a="1"/>
  <c r="H10" i="11" s="1"/>
  <c r="H9" i="11" a="1"/>
  <c r="H9" i="11" s="1"/>
  <c r="H8" i="11" a="1"/>
  <c r="H8" i="11" s="1"/>
  <c r="H7" i="11" a="1"/>
  <c r="H7" i="11" s="1"/>
  <c r="H6" i="11" a="1"/>
  <c r="H6" i="11" s="1"/>
  <c r="H5" i="11" a="1"/>
  <c r="H5" i="11" s="1"/>
  <c r="H4" i="11" a="1"/>
  <c r="H4" i="11" s="1"/>
  <c r="H3" i="11" a="1"/>
  <c r="H3" i="11" s="1"/>
  <c r="G48" i="11" a="1"/>
  <c r="G48" i="11" s="1"/>
  <c r="G47" i="11" a="1"/>
  <c r="G47" i="11" s="1"/>
  <c r="G46" i="11" a="1"/>
  <c r="G46" i="11" s="1"/>
  <c r="G45" i="11" a="1"/>
  <c r="G45" i="11" s="1"/>
  <c r="G44" i="11" a="1"/>
  <c r="G44" i="11" s="1"/>
  <c r="G43" i="11" a="1"/>
  <c r="G43" i="11" s="1"/>
  <c r="G42" i="11" a="1"/>
  <c r="G42" i="11" s="1"/>
  <c r="G41" i="11" a="1"/>
  <c r="G41" i="11" s="1"/>
  <c r="G40" i="11" a="1"/>
  <c r="G40" i="11" s="1"/>
  <c r="G39" i="11" a="1"/>
  <c r="G39" i="11" s="1"/>
  <c r="G38" i="11" a="1"/>
  <c r="G38" i="11" s="1"/>
  <c r="G37" i="11" a="1"/>
  <c r="G37" i="11" s="1"/>
  <c r="G36" i="11" a="1"/>
  <c r="G36" i="11" s="1"/>
  <c r="G35" i="11" a="1"/>
  <c r="G35" i="11" s="1"/>
  <c r="G34" i="11" a="1"/>
  <c r="G34" i="11" s="1"/>
  <c r="G33" i="11" a="1"/>
  <c r="G33" i="11" s="1"/>
  <c r="G32" i="11" a="1"/>
  <c r="G32" i="11" s="1"/>
  <c r="G31" i="11" a="1"/>
  <c r="G31" i="11" s="1"/>
  <c r="G30" i="11" a="1"/>
  <c r="G30" i="11" s="1"/>
  <c r="G29" i="11" a="1"/>
  <c r="G29" i="11" s="1"/>
  <c r="G28" i="11" a="1"/>
  <c r="G28" i="11" s="1"/>
  <c r="G27" i="11" a="1"/>
  <c r="G27" i="11" s="1"/>
  <c r="G26" i="11" a="1"/>
  <c r="G26" i="11" s="1"/>
  <c r="G25" i="11" a="1"/>
  <c r="G25" i="11" s="1"/>
  <c r="G24" i="11" a="1"/>
  <c r="G24" i="11" s="1"/>
  <c r="G2" i="11" a="1"/>
  <c r="G2" i="11" s="1"/>
  <c r="G3" i="11" a="1"/>
  <c r="G3" i="11" s="1"/>
  <c r="G4" i="11" a="1"/>
  <c r="G4" i="11" s="1"/>
  <c r="G5" i="11" a="1"/>
  <c r="G5" i="11" s="1"/>
  <c r="G6" i="11" a="1"/>
  <c r="G6" i="11" s="1"/>
  <c r="G7" i="11" a="1"/>
  <c r="G7" i="11" s="1"/>
  <c r="G8" i="11" a="1"/>
  <c r="G8" i="11" s="1"/>
  <c r="G9" i="11" a="1"/>
  <c r="G9" i="11" s="1"/>
  <c r="G10" i="11" a="1"/>
  <c r="G10" i="11" s="1"/>
  <c r="G11" i="11" a="1"/>
  <c r="G11" i="11" s="1"/>
  <c r="G12" i="11" a="1"/>
  <c r="G12" i="11" s="1"/>
  <c r="G13" i="11" a="1"/>
  <c r="G13" i="11" s="1"/>
  <c r="G14" i="11" a="1"/>
  <c r="G14" i="11" s="1"/>
  <c r="G15" i="11" a="1"/>
  <c r="G15" i="11" s="1"/>
  <c r="G16" i="11" a="1"/>
  <c r="G16" i="11" s="1"/>
  <c r="G17" i="11" a="1"/>
  <c r="G17" i="11" s="1"/>
  <c r="G18" i="11" a="1"/>
  <c r="G18" i="11" s="1"/>
  <c r="G19" i="11" a="1"/>
  <c r="G19" i="11" s="1"/>
  <c r="G20" i="11" a="1"/>
  <c r="G20" i="11" s="1"/>
  <c r="G21" i="11" a="1"/>
  <c r="G21" i="11" s="1"/>
  <c r="G22" i="11" a="1"/>
  <c r="G22" i="11" s="1"/>
  <c r="G23" i="11" a="1"/>
  <c r="G23" i="11" s="1"/>
  <c r="H2" i="11" a="1"/>
  <c r="H2" i="11" s="1"/>
  <c r="B48" i="11"/>
  <c r="A48" i="11" s="1"/>
  <c r="C48" i="11"/>
  <c r="J48" i="11" s="1"/>
  <c r="C47" i="11"/>
  <c r="J47" i="11" s="1"/>
  <c r="C46" i="11"/>
  <c r="J46" i="11" s="1"/>
  <c r="C45" i="11"/>
  <c r="J45" i="11" s="1"/>
  <c r="C44" i="11"/>
  <c r="J44" i="11" s="1"/>
  <c r="C43" i="11"/>
  <c r="J43" i="11" s="1"/>
  <c r="C42" i="11"/>
  <c r="J42" i="11" s="1"/>
  <c r="C41" i="11"/>
  <c r="J41" i="11" s="1"/>
  <c r="C40" i="11"/>
  <c r="J40" i="11" s="1"/>
  <c r="C39" i="11"/>
  <c r="J39" i="11" s="1"/>
  <c r="C38" i="11"/>
  <c r="J38" i="11" s="1"/>
  <c r="C37" i="11"/>
  <c r="J37" i="11" s="1"/>
  <c r="C36" i="11"/>
  <c r="J36" i="11" s="1"/>
  <c r="C35" i="11"/>
  <c r="J35" i="11" s="1"/>
  <c r="C34" i="11"/>
  <c r="J34" i="11" s="1"/>
  <c r="C33" i="11"/>
  <c r="J33" i="11" s="1"/>
  <c r="C32" i="11"/>
  <c r="J32" i="11" s="1"/>
  <c r="C31" i="11"/>
  <c r="J31" i="11" s="1"/>
  <c r="C30" i="11"/>
  <c r="J30" i="11" s="1"/>
  <c r="C29" i="11"/>
  <c r="J29" i="11" s="1"/>
  <c r="C28" i="11"/>
  <c r="J28" i="11" s="1"/>
  <c r="C27" i="11"/>
  <c r="J27" i="11" s="1"/>
  <c r="C26" i="11"/>
  <c r="J26" i="11" s="1"/>
  <c r="C25" i="11"/>
  <c r="J25" i="11" s="1"/>
  <c r="C24" i="11"/>
  <c r="J24" i="11" s="1"/>
  <c r="B47" i="11"/>
  <c r="A47" i="11" s="1"/>
  <c r="B46" i="11"/>
  <c r="A46" i="11" s="1"/>
  <c r="B45" i="11"/>
  <c r="A45" i="11" s="1"/>
  <c r="B44" i="11"/>
  <c r="A44" i="11" s="1"/>
  <c r="B43" i="11"/>
  <c r="A43" i="11" s="1"/>
  <c r="B42" i="11"/>
  <c r="A42" i="11" s="1"/>
  <c r="B41" i="11"/>
  <c r="A41" i="11" s="1"/>
  <c r="B40" i="11"/>
  <c r="A40" i="11" s="1"/>
  <c r="B39" i="11"/>
  <c r="A39" i="11" s="1"/>
  <c r="B38" i="11"/>
  <c r="A38" i="11" s="1"/>
  <c r="B37" i="11"/>
  <c r="A37" i="11" s="1"/>
  <c r="B36" i="11"/>
  <c r="A36" i="11" s="1"/>
  <c r="B35" i="11"/>
  <c r="A35" i="11" s="1"/>
  <c r="B34" i="11"/>
  <c r="A34" i="11" s="1"/>
  <c r="B33" i="11"/>
  <c r="A33" i="11" s="1"/>
  <c r="B32" i="11"/>
  <c r="A32" i="11" s="1"/>
  <c r="B31" i="11"/>
  <c r="A31" i="11" s="1"/>
  <c r="B30" i="11"/>
  <c r="A30" i="11" s="1"/>
  <c r="B29" i="11"/>
  <c r="A29" i="11" s="1"/>
  <c r="B28" i="11"/>
  <c r="A28" i="11" s="1"/>
  <c r="B27" i="11"/>
  <c r="A27" i="11" s="1"/>
  <c r="B26" i="11"/>
  <c r="A26" i="11" s="1"/>
  <c r="B25" i="11"/>
  <c r="A25" i="11" s="1"/>
  <c r="B24" i="11"/>
  <c r="A24" i="11" s="1"/>
  <c r="BN73" i="2"/>
  <c r="BM73" i="2"/>
  <c r="BM72" i="2"/>
  <c r="BN71" i="2"/>
  <c r="BN70" i="2"/>
  <c r="BM70" i="2"/>
  <c r="BN52" i="2"/>
  <c r="BM52" i="2"/>
  <c r="BN51" i="2"/>
  <c r="BM51" i="2"/>
  <c r="BN50" i="2"/>
  <c r="BM50" i="2"/>
  <c r="BN49" i="2"/>
  <c r="BM49" i="2"/>
  <c r="BN48" i="2"/>
  <c r="BM48" i="2"/>
  <c r="BN43" i="2"/>
  <c r="BM43" i="2"/>
  <c r="BN42" i="2"/>
  <c r="BM42" i="2"/>
  <c r="BN39" i="2"/>
  <c r="BM39" i="2"/>
  <c r="BN34" i="2"/>
  <c r="BM34" i="2"/>
  <c r="BN33" i="2"/>
  <c r="BM33" i="2"/>
  <c r="BN32" i="2"/>
  <c r="BM32" i="2"/>
  <c r="BN31" i="2"/>
  <c r="BM31" i="2"/>
  <c r="BN26" i="2"/>
  <c r="BM26" i="2"/>
  <c r="BN23" i="2"/>
  <c r="BM23" i="2"/>
  <c r="BN22" i="2"/>
  <c r="BM22" i="2"/>
  <c r="BN21" i="2"/>
  <c r="BM21" i="2"/>
  <c r="BN4" i="2"/>
  <c r="BM4" i="2"/>
  <c r="BN9" i="2"/>
  <c r="BM9" i="2"/>
  <c r="S73" i="2"/>
  <c r="BO73" i="2" s="1"/>
  <c r="S72" i="2"/>
  <c r="BO72" i="2" s="1"/>
  <c r="S71" i="2"/>
  <c r="H46" i="11" s="1" a="1"/>
  <c r="H46" i="11" s="1"/>
  <c r="S70" i="2"/>
  <c r="BO70" i="2" s="1"/>
  <c r="S52" i="2"/>
  <c r="BO52" i="2" s="1"/>
  <c r="S51" i="2"/>
  <c r="H43" i="11" s="1" a="1"/>
  <c r="H43" i="11" s="1"/>
  <c r="S50" i="2"/>
  <c r="S49" i="2"/>
  <c r="BO49" i="2" s="1"/>
  <c r="S48" i="2"/>
  <c r="H40" i="11" s="1" a="1"/>
  <c r="H40" i="11" s="1"/>
  <c r="S43" i="2"/>
  <c r="H39" i="11" s="1" a="1"/>
  <c r="H39" i="11" s="1"/>
  <c r="S42" i="2"/>
  <c r="H38" i="11" s="1" a="1"/>
  <c r="H38" i="11" s="1"/>
  <c r="S39" i="2"/>
  <c r="H36" i="11" s="1" a="1"/>
  <c r="H36" i="11" s="1"/>
  <c r="S34" i="2"/>
  <c r="H35" i="11" s="1" a="1"/>
  <c r="H35" i="11" s="1"/>
  <c r="S33" i="2"/>
  <c r="BO33" i="2" s="1"/>
  <c r="S32" i="2"/>
  <c r="H33" i="11" s="1" a="1"/>
  <c r="H33" i="11" s="1"/>
  <c r="S31" i="2"/>
  <c r="H32" i="11" s="1" a="1"/>
  <c r="H32" i="11" s="1"/>
  <c r="S26" i="2"/>
  <c r="BO26" i="2" s="1"/>
  <c r="S23" i="2"/>
  <c r="BO23" i="2" s="1"/>
  <c r="S22" i="2"/>
  <c r="S21" i="2"/>
  <c r="BO21" i="2" s="1"/>
  <c r="S4" i="2"/>
  <c r="H27" i="11" s="1" a="1"/>
  <c r="H27" i="11" s="1"/>
  <c r="S9" i="2"/>
  <c r="H26" i="11" s="1" a="1"/>
  <c r="H26" i="11" s="1"/>
  <c r="Q73" i="2"/>
  <c r="Q72" i="2"/>
  <c r="Q71" i="2"/>
  <c r="Q52" i="2"/>
  <c r="Q51" i="2"/>
  <c r="Q50" i="2"/>
  <c r="Q49" i="2"/>
  <c r="Q48" i="2"/>
  <c r="Q43" i="2"/>
  <c r="Q42" i="2"/>
  <c r="Q39" i="2"/>
  <c r="Q34" i="2"/>
  <c r="Q33" i="2"/>
  <c r="Q32" i="2"/>
  <c r="Q31" i="2"/>
  <c r="Q26" i="2"/>
  <c r="Q23" i="2"/>
  <c r="Q22" i="2"/>
  <c r="Q21" i="2"/>
  <c r="Q4" i="2"/>
  <c r="Q9" i="2"/>
  <c r="N32" i="13"/>
  <c r="M32" i="13"/>
  <c r="L32" i="13"/>
  <c r="K32" i="13"/>
  <c r="J32" i="13"/>
  <c r="I32" i="13"/>
  <c r="H32" i="13"/>
  <c r="G32" i="13"/>
  <c r="D32" i="13"/>
  <c r="C32" i="13"/>
  <c r="N31" i="13"/>
  <c r="M31" i="13"/>
  <c r="L31" i="13"/>
  <c r="K31" i="13"/>
  <c r="J31" i="13"/>
  <c r="I31" i="13"/>
  <c r="H31" i="13"/>
  <c r="G31" i="13"/>
  <c r="D31" i="13"/>
  <c r="C31" i="13"/>
  <c r="N30" i="13"/>
  <c r="M30" i="13"/>
  <c r="L30" i="13"/>
  <c r="K30" i="13"/>
  <c r="J30" i="13"/>
  <c r="I30" i="13"/>
  <c r="H30" i="13"/>
  <c r="G30" i="13"/>
  <c r="D30" i="13"/>
  <c r="C30" i="13"/>
  <c r="N19" i="13"/>
  <c r="N25" i="13" s="1"/>
  <c r="M19" i="13"/>
  <c r="M25" i="13" s="1"/>
  <c r="L19" i="13"/>
  <c r="AA19" i="13" s="1"/>
  <c r="AA25" i="13" s="1"/>
  <c r="K19" i="13"/>
  <c r="Z19" i="13" s="1"/>
  <c r="Z25" i="13" s="1"/>
  <c r="J19" i="13"/>
  <c r="Y19" i="13" s="1"/>
  <c r="Y25" i="13" s="1"/>
  <c r="I19" i="13"/>
  <c r="X19" i="13" s="1"/>
  <c r="X25" i="13" s="1"/>
  <c r="H19" i="13"/>
  <c r="W19" i="13" s="1"/>
  <c r="W25" i="13" s="1"/>
  <c r="G19" i="13"/>
  <c r="G25" i="13" s="1"/>
  <c r="F19" i="13"/>
  <c r="U19" i="13" s="1"/>
  <c r="U25" i="13" s="1"/>
  <c r="E19" i="13"/>
  <c r="E25" i="13" s="1"/>
  <c r="D19" i="13"/>
  <c r="D25" i="13" s="1"/>
  <c r="C19" i="13"/>
  <c r="C25" i="13" s="1"/>
  <c r="N15" i="13"/>
  <c r="N24" i="13" s="1"/>
  <c r="M15" i="13"/>
  <c r="M24" i="13" s="1"/>
  <c r="L15" i="13"/>
  <c r="L24" i="13" s="1"/>
  <c r="K15" i="13"/>
  <c r="K24" i="13" s="1"/>
  <c r="J15" i="13"/>
  <c r="J24" i="13" s="1"/>
  <c r="I15" i="13"/>
  <c r="I24" i="13" s="1"/>
  <c r="G24" i="13"/>
  <c r="E15" i="13"/>
  <c r="E24" i="13" s="1"/>
  <c r="D15" i="13"/>
  <c r="D24" i="13" s="1"/>
  <c r="C15" i="13"/>
  <c r="C24" i="13" s="1"/>
  <c r="N11" i="13"/>
  <c r="N23" i="13" s="1"/>
  <c r="M11" i="13"/>
  <c r="M23" i="13" s="1"/>
  <c r="L11" i="13"/>
  <c r="L23" i="13" s="1"/>
  <c r="K11" i="13"/>
  <c r="K23" i="13" s="1"/>
  <c r="J11" i="13"/>
  <c r="Y11" i="13" s="1"/>
  <c r="Y23" i="13" s="1"/>
  <c r="I11" i="13"/>
  <c r="I23" i="13" s="1"/>
  <c r="G23" i="13"/>
  <c r="F11" i="13"/>
  <c r="U11" i="13" s="1"/>
  <c r="U23" i="13" s="1"/>
  <c r="E11" i="13"/>
  <c r="E23" i="13" s="1"/>
  <c r="D11" i="13"/>
  <c r="D23" i="13" s="1"/>
  <c r="C11" i="13"/>
  <c r="C23" i="13" s="1"/>
  <c r="AC7" i="13"/>
  <c r="AB7" i="13"/>
  <c r="AA7" i="13"/>
  <c r="Z7" i="13"/>
  <c r="Y7" i="13"/>
  <c r="X7" i="13"/>
  <c r="W7" i="13"/>
  <c r="V7" i="13"/>
  <c r="U7" i="13"/>
  <c r="T7" i="13"/>
  <c r="S7" i="13"/>
  <c r="R7" i="13"/>
  <c r="AE7" i="13"/>
  <c r="O7" i="13"/>
  <c r="AE3" i="13"/>
  <c r="O3" i="13"/>
  <c r="C23" i="11"/>
  <c r="J23" i="11" s="1"/>
  <c r="C22" i="11"/>
  <c r="J22" i="11" s="1"/>
  <c r="C21" i="11"/>
  <c r="J21" i="11" s="1"/>
  <c r="C20" i="11"/>
  <c r="J20" i="11" s="1"/>
  <c r="C19" i="11"/>
  <c r="J19" i="11" s="1"/>
  <c r="C18" i="11"/>
  <c r="J18" i="11" s="1"/>
  <c r="C17" i="11"/>
  <c r="J17" i="11" s="1"/>
  <c r="C2" i="11"/>
  <c r="J2" i="11" s="1"/>
  <c r="B23" i="11"/>
  <c r="A23" i="11" s="1"/>
  <c r="B22" i="11"/>
  <c r="A22" i="11" s="1"/>
  <c r="B21" i="11"/>
  <c r="A21" i="11" s="1"/>
  <c r="B20" i="11"/>
  <c r="A20" i="11" s="1"/>
  <c r="B19" i="11"/>
  <c r="A19" i="11" s="1"/>
  <c r="B18" i="11"/>
  <c r="A18" i="11" s="1"/>
  <c r="B17" i="11"/>
  <c r="A17" i="11" s="1"/>
  <c r="B16" i="11"/>
  <c r="A16" i="11" s="1"/>
  <c r="B15" i="11"/>
  <c r="A15" i="11" s="1"/>
  <c r="B14" i="11"/>
  <c r="A14" i="11" s="1"/>
  <c r="B13" i="11"/>
  <c r="A13" i="11" s="1"/>
  <c r="B12" i="11"/>
  <c r="A12" i="11" s="1"/>
  <c r="B11" i="11"/>
  <c r="A11" i="11" s="1"/>
  <c r="B10" i="11"/>
  <c r="A10" i="11" s="1"/>
  <c r="B9" i="11"/>
  <c r="A9" i="11" s="1"/>
  <c r="B8" i="11"/>
  <c r="A8" i="11" s="1"/>
  <c r="B7" i="11"/>
  <c r="A7" i="11" s="1"/>
  <c r="B6" i="11"/>
  <c r="A6" i="11" s="1"/>
  <c r="B5" i="11"/>
  <c r="A5" i="11" s="1"/>
  <c r="B2" i="11"/>
  <c r="C16" i="11"/>
  <c r="J16" i="11" s="1"/>
  <c r="C15" i="11"/>
  <c r="J15" i="11" s="1"/>
  <c r="C14" i="11"/>
  <c r="J14" i="11" s="1"/>
  <c r="C13" i="11"/>
  <c r="J13" i="11" s="1"/>
  <c r="C12" i="11"/>
  <c r="J12" i="11" s="1"/>
  <c r="C11" i="11"/>
  <c r="J11" i="11" s="1"/>
  <c r="C10" i="11"/>
  <c r="J10" i="11" s="1"/>
  <c r="C9" i="11"/>
  <c r="J9" i="11" s="1"/>
  <c r="C8" i="11"/>
  <c r="J8" i="11" s="1"/>
  <c r="C7" i="11"/>
  <c r="J7" i="11" s="1"/>
  <c r="C6" i="11"/>
  <c r="J6" i="11" s="1"/>
  <c r="C5" i="11"/>
  <c r="J5" i="11" s="1"/>
  <c r="C4" i="11"/>
  <c r="J4" i="11" s="1"/>
  <c r="B4" i="11"/>
  <c r="A4" i="11" s="1"/>
  <c r="C3" i="11"/>
  <c r="J3" i="11" s="1"/>
  <c r="B3" i="11"/>
  <c r="A3" i="11" s="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4" i="11"/>
  <c r="A103" i="11"/>
  <c r="A102" i="11"/>
  <c r="A101" i="11"/>
  <c r="A100" i="11"/>
  <c r="A99" i="11"/>
  <c r="A98" i="11"/>
  <c r="A68" i="11"/>
  <c r="A67" i="11"/>
  <c r="A66" i="11"/>
  <c r="BO30" i="2"/>
  <c r="BN30" i="2"/>
  <c r="BM30" i="2"/>
  <c r="BO29" i="2"/>
  <c r="BN29" i="2"/>
  <c r="BM29" i="2"/>
  <c r="BO28" i="2"/>
  <c r="BN28" i="2"/>
  <c r="BM28" i="2"/>
  <c r="BO47" i="2"/>
  <c r="BN47" i="2"/>
  <c r="BM47" i="2"/>
  <c r="BO46" i="2"/>
  <c r="BP46" i="2" s="1"/>
  <c r="BN46" i="2"/>
  <c r="BO45" i="2"/>
  <c r="BN45" i="2"/>
  <c r="BM45" i="2"/>
  <c r="BO44" i="2"/>
  <c r="BN44" i="2"/>
  <c r="BM44" i="2"/>
  <c r="BO41" i="2"/>
  <c r="BN41" i="2"/>
  <c r="BM41" i="2"/>
  <c r="BO20" i="2"/>
  <c r="BN20" i="2"/>
  <c r="BM20" i="2"/>
  <c r="BO19" i="2"/>
  <c r="BN19" i="2"/>
  <c r="BM19" i="2"/>
  <c r="BO69" i="2"/>
  <c r="BN69" i="2"/>
  <c r="BM69" i="2"/>
  <c r="BO68" i="2"/>
  <c r="BN68" i="2"/>
  <c r="BM68" i="2"/>
  <c r="BO67" i="2"/>
  <c r="BN67" i="2"/>
  <c r="BM67" i="2"/>
  <c r="BO38" i="2"/>
  <c r="BN38" i="2"/>
  <c r="BM38" i="2"/>
  <c r="BO8" i="2"/>
  <c r="BN8" i="2"/>
  <c r="BM8" i="2"/>
  <c r="BO63" i="2"/>
  <c r="BN63" i="2"/>
  <c r="BM63" i="2"/>
  <c r="BO62" i="2"/>
  <c r="BN62" i="2"/>
  <c r="BM62" i="2"/>
  <c r="BO61" i="2"/>
  <c r="BN61" i="2"/>
  <c r="BM61" i="2"/>
  <c r="BM11" i="10"/>
  <c r="BL11" i="10"/>
  <c r="BM10" i="10"/>
  <c r="BL10" i="10"/>
  <c r="BM9" i="10"/>
  <c r="BL9" i="10"/>
  <c r="BM12" i="9"/>
  <c r="BL12" i="9"/>
  <c r="BM11" i="9"/>
  <c r="BL11" i="9"/>
  <c r="BM10" i="9"/>
  <c r="BL10" i="9"/>
  <c r="BM9" i="9"/>
  <c r="BL9" i="9"/>
  <c r="BM9" i="8"/>
  <c r="BL9" i="8"/>
  <c r="BM10" i="7"/>
  <c r="BL10" i="7"/>
  <c r="BM9" i="7"/>
  <c r="BL9" i="7"/>
  <c r="BM11" i="6"/>
  <c r="BL11" i="6"/>
  <c r="BM10" i="6"/>
  <c r="BL10" i="6"/>
  <c r="BM9" i="6"/>
  <c r="BL9" i="6"/>
  <c r="BM9" i="5"/>
  <c r="BL9" i="5"/>
  <c r="BM23" i="4"/>
  <c r="BL23" i="4"/>
  <c r="BM22" i="4"/>
  <c r="BL22" i="4"/>
  <c r="BM21" i="4"/>
  <c r="BL21" i="4"/>
  <c r="BM20" i="4"/>
  <c r="BL20" i="4"/>
  <c r="BM19" i="4"/>
  <c r="BL19" i="4"/>
  <c r="BM18" i="4"/>
  <c r="BL18" i="4"/>
  <c r="BM17" i="4"/>
  <c r="BL17" i="4"/>
  <c r="BM16" i="4"/>
  <c r="BL16" i="4"/>
  <c r="BM15" i="4"/>
  <c r="BL15" i="4"/>
  <c r="BM14" i="4"/>
  <c r="BL14" i="4"/>
  <c r="BM13" i="4"/>
  <c r="BL13" i="4"/>
  <c r="BM12" i="4"/>
  <c r="BL12" i="4"/>
  <c r="BM11" i="4"/>
  <c r="BL11" i="4"/>
  <c r="BM10" i="4"/>
  <c r="BL10" i="4"/>
  <c r="BM9" i="4"/>
  <c r="BL9" i="4"/>
  <c r="H52" i="11" a="1"/>
  <c r="H52" i="11" s="1"/>
  <c r="H56" i="11" a="1"/>
  <c r="H56" i="11" s="1"/>
  <c r="H53" i="11" a="1"/>
  <c r="H53" i="11" s="1"/>
  <c r="H55" i="11" a="1"/>
  <c r="H55" i="11" s="1"/>
  <c r="H57" i="11" a="1"/>
  <c r="H57" i="11" s="1"/>
  <c r="H51" i="11" a="1"/>
  <c r="H51" i="11" s="1"/>
  <c r="H60" i="11" a="1"/>
  <c r="H60" i="11" s="1"/>
  <c r="H72" i="11" a="1"/>
  <c r="H72" i="11" s="1"/>
  <c r="H67" i="11" a="1"/>
  <c r="H67" i="11" s="1"/>
  <c r="H68" i="11" a="1"/>
  <c r="H68" i="11" s="1"/>
  <c r="H69" i="11" a="1"/>
  <c r="H69" i="11" s="1"/>
  <c r="H75" i="11" a="1"/>
  <c r="H75" i="11" s="1"/>
  <c r="BO59" i="2"/>
  <c r="BO58" i="2"/>
  <c r="BP5" i="2"/>
  <c r="V11" i="13"/>
  <c r="V23" i="13" s="1"/>
  <c r="BO50" i="2" l="1"/>
  <c r="F31" i="13"/>
  <c r="BO37" i="2"/>
  <c r="H116" i="11" a="1"/>
  <c r="H116" i="11" s="1"/>
  <c r="H96" i="11" a="1"/>
  <c r="H96" i="11" s="1"/>
  <c r="H97" i="11" a="1"/>
  <c r="H97" i="11" s="1"/>
  <c r="H98" i="11" a="1"/>
  <c r="H98" i="11" s="1"/>
  <c r="H112" i="11" a="1"/>
  <c r="H112" i="11" s="1"/>
  <c r="H113" i="11" a="1"/>
  <c r="H113" i="11" s="1"/>
  <c r="H102" i="11" a="1"/>
  <c r="H102" i="11" s="1"/>
  <c r="BO35" i="2"/>
  <c r="H115" i="11" a="1"/>
  <c r="H115" i="11" s="1"/>
  <c r="H81" i="11" a="1"/>
  <c r="H81" i="11" s="1"/>
  <c r="H82" i="11" a="1"/>
  <c r="H82" i="11" s="1"/>
  <c r="H83" i="11" a="1"/>
  <c r="H83" i="11" s="1"/>
  <c r="H85" i="11" a="1"/>
  <c r="H85" i="11" s="1"/>
  <c r="F30" i="13"/>
  <c r="H86" i="11" a="1"/>
  <c r="H86" i="11" s="1"/>
  <c r="H87" i="11" a="1"/>
  <c r="H87" i="11" s="1"/>
  <c r="H76" i="11" a="1"/>
  <c r="H76" i="11" s="1"/>
  <c r="H88" i="11" a="1"/>
  <c r="H88" i="11" s="1"/>
  <c r="H77" i="11" a="1"/>
  <c r="H77" i="11" s="1"/>
  <c r="H89" i="11" a="1"/>
  <c r="H89" i="11" s="1"/>
  <c r="H78" i="11" a="1"/>
  <c r="H78" i="11" s="1"/>
  <c r="H90" i="11" a="1"/>
  <c r="H90" i="11" s="1"/>
  <c r="H79" i="11" a="1"/>
  <c r="H79" i="11" s="1"/>
  <c r="H91" i="11" a="1"/>
  <c r="H91" i="11" s="1"/>
  <c r="H80" i="11" a="1"/>
  <c r="H80" i="11" s="1"/>
  <c r="H54" i="11" a="1"/>
  <c r="H54" i="11" s="1"/>
  <c r="H50" i="11" a="1"/>
  <c r="H50" i="11" s="1"/>
  <c r="BO22" i="2"/>
  <c r="BP22" i="2" s="1"/>
  <c r="BP25" i="2"/>
  <c r="BO57" i="2"/>
  <c r="BP57" i="2" s="1"/>
  <c r="BP35" i="2"/>
  <c r="BP54" i="2"/>
  <c r="AA11" i="13"/>
  <c r="AA23" i="13" s="1"/>
  <c r="BP68" i="2"/>
  <c r="BO64" i="2"/>
  <c r="BP64" i="2" s="1"/>
  <c r="BP76" i="2"/>
  <c r="BP26" i="2"/>
  <c r="BO32" i="2"/>
  <c r="BP32" i="2" s="1"/>
  <c r="H47" i="11" a="1"/>
  <c r="H47" i="11" s="1"/>
  <c r="V19" i="13"/>
  <c r="V25" i="13" s="1"/>
  <c r="H41" i="11" a="1"/>
  <c r="H41" i="11" s="1"/>
  <c r="BO56" i="2"/>
  <c r="BP56" i="2" s="1"/>
  <c r="BO36" i="2"/>
  <c r="BP36" i="2" s="1"/>
  <c r="BO4" i="2"/>
  <c r="BP4" i="2" s="1"/>
  <c r="BO51" i="2"/>
  <c r="BP51" i="2" s="1"/>
  <c r="BP24" i="2"/>
  <c r="T19" i="13"/>
  <c r="T25" i="13" s="1"/>
  <c r="BP62" i="2"/>
  <c r="BP67" i="2"/>
  <c r="BP20" i="2"/>
  <c r="BO9" i="2"/>
  <c r="BP9" i="2" s="1"/>
  <c r="BP65" i="2"/>
  <c r="BP75" i="2"/>
  <c r="BO34" i="2"/>
  <c r="BP34" i="2" s="1"/>
  <c r="BP49" i="2"/>
  <c r="BP50" i="2"/>
  <c r="R11" i="13"/>
  <c r="R23" i="13" s="1"/>
  <c r="BO43" i="2"/>
  <c r="BP43" i="2" s="1"/>
  <c r="BP40" i="2"/>
  <c r="BP66" i="2"/>
  <c r="H31" i="11" a="1"/>
  <c r="H31" i="11" s="1"/>
  <c r="BP7" i="2"/>
  <c r="H30" i="11" a="1"/>
  <c r="H30" i="11" s="1"/>
  <c r="BP47" i="2"/>
  <c r="F25" i="13"/>
  <c r="AC11" i="13"/>
  <c r="AC23" i="13" s="1"/>
  <c r="BP72" i="2"/>
  <c r="S11" i="13"/>
  <c r="S23" i="13" s="1"/>
  <c r="BP14" i="2"/>
  <c r="BP6" i="2"/>
  <c r="BP29" i="2"/>
  <c r="J25" i="13"/>
  <c r="H29" i="11" a="1"/>
  <c r="H29" i="11" s="1"/>
  <c r="BP61" i="2"/>
  <c r="BP19" i="2"/>
  <c r="BP45" i="2"/>
  <c r="BP30" i="2"/>
  <c r="BP23" i="2"/>
  <c r="BP73" i="2"/>
  <c r="BP16" i="2"/>
  <c r="BP60" i="2"/>
  <c r="BP27" i="2"/>
  <c r="BP58" i="2"/>
  <c r="E30" i="13"/>
  <c r="BP63" i="2"/>
  <c r="BP41" i="2"/>
  <c r="BP59" i="2"/>
  <c r="BP52" i="2"/>
  <c r="H45" i="11" a="1"/>
  <c r="H45" i="11" s="1"/>
  <c r="S19" i="13"/>
  <c r="S25" i="13" s="1"/>
  <c r="N33" i="13"/>
  <c r="F23" i="13"/>
  <c r="C33" i="13"/>
  <c r="C26" i="13"/>
  <c r="G33" i="13"/>
  <c r="R19" i="13"/>
  <c r="R25" i="13" s="1"/>
  <c r="L33" i="13"/>
  <c r="E26" i="13"/>
  <c r="I33" i="13"/>
  <c r="D33" i="13"/>
  <c r="N26" i="13"/>
  <c r="M33" i="13"/>
  <c r="K33" i="13"/>
  <c r="K25" i="13"/>
  <c r="K26" i="13" s="1"/>
  <c r="J23" i="13"/>
  <c r="X11" i="13"/>
  <c r="X23" i="13" s="1"/>
  <c r="G26" i="13"/>
  <c r="W11" i="13"/>
  <c r="W23" i="13" s="1"/>
  <c r="V15" i="13"/>
  <c r="V24" i="13" s="1"/>
  <c r="AC15" i="13"/>
  <c r="AC24" i="13" s="1"/>
  <c r="X15" i="13"/>
  <c r="X24" i="13" s="1"/>
  <c r="O15" i="13"/>
  <c r="BP33" i="2"/>
  <c r="BP37" i="2"/>
  <c r="BP74" i="2"/>
  <c r="BP8" i="2"/>
  <c r="BP69" i="2"/>
  <c r="BP44" i="2"/>
  <c r="J33" i="13"/>
  <c r="BP70" i="2"/>
  <c r="BP55" i="2"/>
  <c r="BP12" i="2"/>
  <c r="BP15" i="2"/>
  <c r="O19" i="13"/>
  <c r="BP21" i="2"/>
  <c r="BP11" i="2"/>
  <c r="O24" i="13"/>
  <c r="AC19" i="13"/>
  <c r="AC25" i="13" s="1"/>
  <c r="H33" i="13"/>
  <c r="BP28" i="2"/>
  <c r="O11" i="13"/>
  <c r="BP38" i="2"/>
  <c r="BP18" i="2"/>
  <c r="BP10" i="2"/>
  <c r="BP53" i="2"/>
  <c r="M26" i="13"/>
  <c r="BP13" i="2"/>
  <c r="D26" i="13"/>
  <c r="H25" i="13"/>
  <c r="BO48" i="2"/>
  <c r="BP48" i="2" s="1"/>
  <c r="BO71" i="2"/>
  <c r="BP71" i="2" s="1"/>
  <c r="AA15" i="13"/>
  <c r="AA24" i="13" s="1"/>
  <c r="U15" i="13"/>
  <c r="U24" i="13" s="1"/>
  <c r="U26" i="13" s="1"/>
  <c r="AB11" i="13"/>
  <c r="AB23" i="13" s="1"/>
  <c r="AB19" i="13"/>
  <c r="AB25" i="13" s="1"/>
  <c r="H28" i="11" a="1"/>
  <c r="H28" i="11" s="1"/>
  <c r="BO42" i="2"/>
  <c r="BP42" i="2" s="1"/>
  <c r="BO17" i="2"/>
  <c r="BP17" i="2" s="1"/>
  <c r="BO39" i="2"/>
  <c r="BP39" i="2" s="1"/>
  <c r="H58" i="11" a="1"/>
  <c r="H58" i="11" s="1"/>
  <c r="Z15" i="13"/>
  <c r="Z24" i="13" s="1"/>
  <c r="T15" i="13"/>
  <c r="T24" i="13" s="1"/>
  <c r="I25" i="13"/>
  <c r="I26" i="13" s="1"/>
  <c r="BO31" i="2"/>
  <c r="BP31" i="2" s="1"/>
  <c r="S15" i="13"/>
  <c r="S24" i="13" s="1"/>
  <c r="T11" i="13"/>
  <c r="H34" i="11" a="1"/>
  <c r="H34" i="11" s="1"/>
  <c r="H44" i="11" a="1"/>
  <c r="H44" i="11" s="1"/>
  <c r="H48" i="11" a="1"/>
  <c r="H48" i="11" s="1"/>
  <c r="Z11" i="13"/>
  <c r="Z23" i="13" s="1"/>
  <c r="Y15" i="13"/>
  <c r="Y24" i="13" s="1"/>
  <c r="Y26" i="13" s="1"/>
  <c r="R15" i="13"/>
  <c r="H42" i="11" a="1"/>
  <c r="H42" i="11" s="1"/>
  <c r="F32" i="13"/>
  <c r="E32" i="13"/>
  <c r="W15" i="13"/>
  <c r="W24" i="13" s="1"/>
  <c r="AB15" i="13"/>
  <c r="AB24" i="13" s="1"/>
  <c r="A2" i="11"/>
  <c r="L25" i="13"/>
  <c r="L26" i="13" s="1"/>
  <c r="E31" i="13"/>
  <c r="O31" i="13" s="1"/>
  <c r="O30" i="13" l="1"/>
  <c r="F33" i="13"/>
  <c r="AA26" i="13"/>
  <c r="V26" i="13"/>
  <c r="O23" i="13"/>
  <c r="F26" i="13"/>
  <c r="J26" i="13"/>
  <c r="S26" i="13"/>
  <c r="X26" i="13"/>
  <c r="E33" i="13"/>
  <c r="W26" i="13"/>
  <c r="AC26" i="13"/>
  <c r="O25" i="13"/>
  <c r="AE19" i="13"/>
  <c r="Z26" i="13"/>
  <c r="AE25" i="13"/>
  <c r="H26" i="13"/>
  <c r="R24" i="13"/>
  <c r="AE15" i="13"/>
  <c r="T23" i="13"/>
  <c r="AE11" i="13"/>
  <c r="O32" i="13"/>
  <c r="AB26" i="13"/>
  <c r="O33" i="13" l="1"/>
  <c r="O26" i="13"/>
  <c r="T26" i="13"/>
  <c r="AE23" i="13"/>
  <c r="AE24" i="13"/>
  <c r="R26" i="13"/>
  <c r="AE26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<sst xmlns="http://schemas.openxmlformats.org/spreadsheetml/2006/main" count="1645" uniqueCount="241">
  <si>
    <t>Kg</t>
  </si>
  <si>
    <t>TOTAL</t>
  </si>
  <si>
    <t>Item</t>
  </si>
  <si>
    <t>Total</t>
  </si>
  <si>
    <t>R$/kg</t>
  </si>
  <si>
    <t>R$</t>
  </si>
  <si>
    <t>EUR/kg</t>
  </si>
  <si>
    <t>Paper Type</t>
  </si>
  <si>
    <t>Quantity</t>
  </si>
  <si>
    <t>Price</t>
  </si>
  <si>
    <t>EUR</t>
  </si>
  <si>
    <t>JANUARY</t>
  </si>
  <si>
    <t>FEBRUARY</t>
  </si>
  <si>
    <t>MARCH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</si>
  <si>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</si>
  <si>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</si>
  <si>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</si>
  <si>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</si>
  <si>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</si>
  <si>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</si>
  <si>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</si>
  <si>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</si>
  <si>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</si>
  <si>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SUPPLIERS</t>
  </si>
  <si>
    <t>IMPRESS DISEÑO IBÉRIA S.A.</t>
  </si>
  <si>
    <t>MUNKSJÖ PAPER S/A</t>
  </si>
  <si>
    <t>TECHNOCELL DEKOR GMBH</t>
  </si>
  <si>
    <t>PAPIERFABRIK AUGUST KOEHLER AG</t>
  </si>
  <si>
    <t>CAIEIRAS INDUSTRIA E COMERCIO DE PAPEIS ESPECIAIS LTDA</t>
  </si>
  <si>
    <t>VERDE FORTE PAPEIS SA</t>
  </si>
  <si>
    <t>18.402</t>
  </si>
  <si>
    <t>SUNSHINE 0104 ECO 70G/M2 1870MM (FSC MC)</t>
  </si>
  <si>
    <t>18.403</t>
  </si>
  <si>
    <t>SUNSHINE 0104 ECO 80G/M2 1860MM (FSC MC)</t>
  </si>
  <si>
    <t>18.415</t>
  </si>
  <si>
    <t>SUNSHINE 0104 ECO 80G/M2 1855MM (FSC MC)</t>
  </si>
  <si>
    <t>18.856</t>
  </si>
  <si>
    <t>HUAWON GRAY HG5089 (689) 68G/M2 1870MM (FSC MC)</t>
  </si>
  <si>
    <t>50.041</t>
  </si>
  <si>
    <t>TINTA ORGANIC YELLOW (AMARELO) 3130</t>
  </si>
  <si>
    <t>50.042</t>
  </si>
  <si>
    <t>TINTA ORGANIC MAGENTA (VERMELHO) 3719</t>
  </si>
  <si>
    <t>50.046</t>
  </si>
  <si>
    <t>TINTA ORGANIC CYAN (AZUL) 3679</t>
  </si>
  <si>
    <t>50.055</t>
  </si>
  <si>
    <t>TINTA ORGANIC BLACK (PRETO) 3318 LC</t>
  </si>
  <si>
    <t>50.065</t>
  </si>
  <si>
    <t>TINTA INK ORR ORGANIC RED (VERMELHO) 3254</t>
  </si>
  <si>
    <t>50.072</t>
  </si>
  <si>
    <t>TINTA ORGANIC WHITE (BRANCO) 3200</t>
  </si>
  <si>
    <t>50.094</t>
  </si>
  <si>
    <t>EXTENDER 5800 CONCENTRADO</t>
  </si>
  <si>
    <t>50.102</t>
  </si>
  <si>
    <t>CONC. EXTENDER SYNTHETIC 3883 A</t>
  </si>
  <si>
    <t>50.103</t>
  </si>
  <si>
    <t>CONC. EXTENDER SYNTHETIC 3883 B</t>
  </si>
  <si>
    <t>50.117</t>
  </si>
  <si>
    <t>TINTA ORGANIC BLACK (PRETO) 3319 LC</t>
  </si>
  <si>
    <t>73.335</t>
  </si>
  <si>
    <t>PAPEL FOTOGRAFICO MATE PAPER 4905 180MY 152,4CMX30M</t>
  </si>
  <si>
    <t>10.255</t>
  </si>
  <si>
    <t>MUNKSJO 9370-070 PO MFOIL WHITE 70G/M² 1880MM (FSC MC)</t>
  </si>
  <si>
    <t>17.024</t>
  </si>
  <si>
    <t>TECHNOCELL DEKOR MPK6656 68g/m2 1870mm  0399</t>
  </si>
  <si>
    <t>17.051</t>
  </si>
  <si>
    <t>TECHNOCELL DEKOR MPK6552F 71G/M2 1870MM  EIR (FSC MC)</t>
  </si>
  <si>
    <t>17.059</t>
  </si>
  <si>
    <t>TECHNOCELL BROWN MPK6287 (2795) 65g/m2 1870mm (FSC MC)</t>
  </si>
  <si>
    <t>14.108</t>
  </si>
  <si>
    <t>KOEHLER 8269 ECO 68G/M2 1870MM  (FSC MC)</t>
  </si>
  <si>
    <t>14.127</t>
  </si>
  <si>
    <t>KOEHLER 8292 ECO 70G/M² 1870MM  LOP (FSC MC)</t>
  </si>
  <si>
    <t>17.425</t>
  </si>
  <si>
    <t>MUNKSJÖ 1410 ECO BROWN 68G/M2 1860MM (FSC MC)</t>
  </si>
  <si>
    <t>15.432</t>
  </si>
  <si>
    <t>DEKORPRINT BEIGE 752 68G/M2 1870MM  TYPE2638 (FSC MC)</t>
  </si>
  <si>
    <t>16.004</t>
  </si>
  <si>
    <t>DEKORPEL BEIGE 9080 80G/M2 1855MM  (FSC MC)</t>
  </si>
  <si>
    <t>16.064</t>
  </si>
  <si>
    <t>DEKORPRINT WHITE 990 70G/M2 1870MM (FSC MC)</t>
  </si>
  <si>
    <t>16.068</t>
  </si>
  <si>
    <t>DEKORPEL WHITE 963 78G/M2 1855MM  (FSC MC)</t>
  </si>
  <si>
    <t>10.801</t>
  </si>
  <si>
    <t>MVP FINISH FOIL BRANCO 40 G/M² 1900MM  (FSC MC)</t>
  </si>
  <si>
    <t>10.805</t>
  </si>
  <si>
    <t>MVP FINISH FOIL PARDO 40 G/M² 1900MM  (FSC MC)</t>
  </si>
  <si>
    <t>10.860</t>
  </si>
  <si>
    <t>MVP FFOIL BRANCO SUPER OPACIDADE 40 G/M2 1900MM (FSC MC)</t>
  </si>
  <si>
    <t>IMPRESS DECOR BRASIL - MONTHLY BASE PAPER PURCHASE 2026</t>
  </si>
  <si>
    <t>Avg price / kg</t>
  </si>
  <si>
    <t>Material Group</t>
  </si>
  <si>
    <t>Class</t>
  </si>
  <si>
    <t>Plant</t>
  </si>
  <si>
    <t>Supplier name</t>
  </si>
  <si>
    <t xml:space="preserve">Product Group </t>
  </si>
  <si>
    <t>Material nr</t>
  </si>
  <si>
    <t>Mat Description</t>
  </si>
  <si>
    <t>Quantity KG</t>
  </si>
  <si>
    <t>Value EUR</t>
  </si>
  <si>
    <t>Month.Year</t>
  </si>
  <si>
    <t>Product Group List</t>
  </si>
  <si>
    <t xml:space="preserve">Decorative Papers </t>
  </si>
  <si>
    <t>Impregnated Papers</t>
  </si>
  <si>
    <t>Finish Foils</t>
  </si>
  <si>
    <t>Preenche manualmente</t>
  </si>
  <si>
    <t>Copia fórmula</t>
  </si>
  <si>
    <t>Adapta fórmula conforme mês</t>
  </si>
  <si>
    <t>IP</t>
  </si>
  <si>
    <t>Print</t>
  </si>
  <si>
    <t>FF</t>
  </si>
  <si>
    <t>white</t>
  </si>
  <si>
    <t>uni</t>
  </si>
  <si>
    <t>Total Geral</t>
  </si>
  <si>
    <t>Soma de Kg13</t>
  </si>
  <si>
    <t>Soma de R$13</t>
  </si>
  <si>
    <t>Soma de EUR13</t>
  </si>
  <si>
    <t xml:space="preserve"> CW</t>
  </si>
  <si>
    <t>FSC MISTO</t>
  </si>
  <si>
    <t xml:space="preserve"> MISTO </t>
  </si>
  <si>
    <t xml:space="preserve"> MISTO</t>
  </si>
  <si>
    <t>KG</t>
  </si>
  <si>
    <t>janeiro</t>
  </si>
  <si>
    <t>KOEH02 / KOEHLER PAPER SE / DEU</t>
  </si>
  <si>
    <t>MALT01 / MALTA-DECOR SP. Z O. O. / POL</t>
  </si>
  <si>
    <t>MLTV01 / VF PAPEIS S.A. / BRA</t>
  </si>
  <si>
    <t>MUNK07 / MUNKSJO TOLOSA S.A.U.  / ESP</t>
  </si>
  <si>
    <t>MUNK09 / MUNKSJO CAIEIRAS LTDA / BRA</t>
  </si>
  <si>
    <t>TECH01 / Felix Schoeller GmbH &amp; Co. / DEU</t>
  </si>
  <si>
    <t>7000481</t>
  </si>
  <si>
    <t xml:space="preserve">DPU 01 0104 080 SUNS  </t>
  </si>
  <si>
    <t>7000459</t>
  </si>
  <si>
    <t xml:space="preserve">DPU 01 0104 070 SUNS  </t>
  </si>
  <si>
    <t>7002028</t>
  </si>
  <si>
    <t xml:space="preserve">PBM 01 1833 070 HUAW  </t>
  </si>
  <si>
    <t>7004664</t>
  </si>
  <si>
    <t>PBM 05 0248 065 CART</t>
  </si>
  <si>
    <t>7004665</t>
  </si>
  <si>
    <t>PBM 05 0248 065 KOEH</t>
  </si>
  <si>
    <t>2032265</t>
  </si>
  <si>
    <t>PBM 02 8269 068 KOEH</t>
  </si>
  <si>
    <t>7000451</t>
  </si>
  <si>
    <t>PBM 02 8292 070 KOEH LOP</t>
  </si>
  <si>
    <t>7000450</t>
  </si>
  <si>
    <t>PBM 02 0244 065 MALT</t>
  </si>
  <si>
    <t>7000470</t>
  </si>
  <si>
    <t xml:space="preserve">PIP 01 9371 040 VERD HIGH OP </t>
  </si>
  <si>
    <t>7000471</t>
  </si>
  <si>
    <t xml:space="preserve">PIP 01 9372 040 VERD  </t>
  </si>
  <si>
    <t>7000473</t>
  </si>
  <si>
    <t xml:space="preserve">PIP 02 9374 040 VERD  </t>
  </si>
  <si>
    <t>7000476</t>
  </si>
  <si>
    <t xml:space="preserve">PIP 07 9377 040 VERD  </t>
  </si>
  <si>
    <t>7000466</t>
  </si>
  <si>
    <t xml:space="preserve">PIP 01 9370 070 MUNK PO MFOIL </t>
  </si>
  <si>
    <t>7000469</t>
  </si>
  <si>
    <t xml:space="preserve">PIP 01 9370 070 MUNK PO NEW WHITE </t>
  </si>
  <si>
    <t>7000452</t>
  </si>
  <si>
    <t xml:space="preserve">PBM 02 1410 068 MUNK  </t>
  </si>
  <si>
    <t>7000454</t>
  </si>
  <si>
    <t xml:space="preserve">PBM 03 1430 068 MUNK  </t>
  </si>
  <si>
    <t>7000485</t>
  </si>
  <si>
    <t xml:space="preserve">DPU 02 9080 080 MUNK  </t>
  </si>
  <si>
    <t>7000403</t>
  </si>
  <si>
    <t>DPU 01 0104 070 MUNK  (990)</t>
  </si>
  <si>
    <t>7000440</t>
  </si>
  <si>
    <t>PBM 02 8269 068 MUNK (756)</t>
  </si>
  <si>
    <t>7000448</t>
  </si>
  <si>
    <t>PBM 02 2638 068 MUNK (752)</t>
  </si>
  <si>
    <t>2043069</t>
  </si>
  <si>
    <t>PBM 02 8269 071 TECH EIR (6552)</t>
  </si>
  <si>
    <t>7000444</t>
  </si>
  <si>
    <t>PBM 02 0399 068 TECH</t>
  </si>
  <si>
    <t>7000462</t>
  </si>
  <si>
    <t>PBM 03 2795 065 TECH  (6287)</t>
  </si>
  <si>
    <t>7004320</t>
  </si>
  <si>
    <t>PBM 05 0380 70 TECH</t>
  </si>
  <si>
    <t>Width</t>
  </si>
  <si>
    <t>1870</t>
  </si>
  <si>
    <t>1855</t>
  </si>
  <si>
    <t>1880</t>
  </si>
  <si>
    <t>1900</t>
  </si>
  <si>
    <t>1860</t>
  </si>
  <si>
    <t>SUNS01 / CENTURY SUNSHINE (SHOUGUANG) SPECIALTY PAPER CO., LTD.</t>
  </si>
  <si>
    <t>HUAW01 / HANGZHOU HUAWANG NEW MATERIAL TECHNOLOGY CO.</t>
  </si>
  <si>
    <t>Width (mm)</t>
  </si>
  <si>
    <t>CART01 / CARTIERE DI GUARCINO S.P.A. / ITA</t>
  </si>
  <si>
    <t>MUNK04 / MUNKSJO PAPER S/A DETTINGEN / DEU</t>
  </si>
  <si>
    <t>7002369</t>
  </si>
  <si>
    <t>DPU 01 0002 80 CART</t>
  </si>
  <si>
    <t>7004755</t>
  </si>
  <si>
    <t>PBM 05 0483 068 CART</t>
  </si>
  <si>
    <t>7004756</t>
  </si>
  <si>
    <t>PBM 05 689 068 CART</t>
  </si>
  <si>
    <t>2010899</t>
  </si>
  <si>
    <t>PBM 05 0483 068 HUAW (5083)</t>
  </si>
  <si>
    <t>2090448</t>
  </si>
  <si>
    <t>PBM 05 689 068 HUAW  (5089)</t>
  </si>
  <si>
    <t>7002362</t>
  </si>
  <si>
    <t xml:space="preserve">PIP 01 9370 070 KING PO NEW WHITE </t>
  </si>
  <si>
    <t>7002372</t>
  </si>
  <si>
    <t xml:space="preserve">PBM 05 0248 065 HUAW  </t>
  </si>
  <si>
    <t>7004722</t>
  </si>
  <si>
    <t>PBM 01 0087 050 KING  (XH1007D)</t>
  </si>
  <si>
    <t>7004757</t>
  </si>
  <si>
    <t xml:space="preserve">PIP 01 9370 065 KING PO NEW WHITE </t>
  </si>
  <si>
    <t>7004758</t>
  </si>
  <si>
    <t>PBM 01 0004 070 HUAW</t>
  </si>
  <si>
    <t>7004759</t>
  </si>
  <si>
    <t>DPU 01 0104 080 HUAW</t>
  </si>
  <si>
    <t>7004848</t>
  </si>
  <si>
    <t>DPU 01 0104 070 KING</t>
  </si>
  <si>
    <t>7000479</t>
  </si>
  <si>
    <t>DPU 01 0104 078 MUNK  (963)</t>
  </si>
  <si>
    <t>7000486</t>
  </si>
  <si>
    <t xml:space="preserve">DPU 08 0497 080 MUNK  </t>
  </si>
  <si>
    <t>7002365</t>
  </si>
  <si>
    <t>DPU 07 0080 080 TECH  (8222)</t>
  </si>
  <si>
    <t>KING01 / KINGDECOR (ZHEJIANG) CO., LTD</t>
  </si>
  <si>
    <t>Rótulos de Linha</t>
  </si>
  <si>
    <t>7002371</t>
  </si>
  <si>
    <t>PBM 02 0244 065 SUNS</t>
  </si>
  <si>
    <t>7002370</t>
  </si>
  <si>
    <t>PBM 02 0301 065 MUNK</t>
  </si>
  <si>
    <t>7000491</t>
  </si>
  <si>
    <t xml:space="preserve">MIS 02 Backing 060 MUNK </t>
  </si>
  <si>
    <t>MUNK01 / MUNKSJO UNTERKOCHEN GMBH / DEU</t>
  </si>
  <si>
    <t>7002366</t>
  </si>
  <si>
    <t xml:space="preserve">DPU 07 0080 080 MUNK  </t>
  </si>
  <si>
    <t>7002384</t>
  </si>
  <si>
    <t xml:space="preserve">PBM 01 0128 065 SUNS K </t>
  </si>
  <si>
    <t>7004975</t>
  </si>
  <si>
    <t xml:space="preserve">PBM 05 0247 070 SUNS (DBL7011PB) </t>
  </si>
  <si>
    <t>7000463</t>
  </si>
  <si>
    <t xml:space="preserve">PBM 01 8291 072 KOEH LOP </t>
  </si>
  <si>
    <t>7004817</t>
  </si>
  <si>
    <t>PBM 02 0204 050 MALT</t>
  </si>
  <si>
    <t>7004777</t>
  </si>
  <si>
    <t>PBM 01 0128 65 ULTRA</t>
  </si>
  <si>
    <t>7004937</t>
  </si>
  <si>
    <t xml:space="preserve">PBM 01 0127 070 ULTRA  </t>
  </si>
  <si>
    <t>ULTR02 / ULTRA DECOR RUS,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</si>
</sst>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EUR]\ #,##0.00"/>
    <numFmt numFmtId="165" formatCode="[$EUR]\ #,##0.0000"/>
    <numFmt numFmtId="166" formatCode="&quot;R$&quot;\ #,##0.00"/>
    <numFmt numFmtId="167" formatCode="_-[$EUR]\ * #,##0.00_-;\-[$EUR]\ * #,##0.00_-;_-[$EUR]\ * &quot;-&quot;??_-;_-@_-"/>
    <numFmt numFmtId="168" formatCode="_-* #,##0_-;\-* #,##0_-;_-* &quot;-&quot;??_-;_-@_-"/>
    <numFmt numFmtId="169" formatCode="mm\.yyyy"/>
    <numFmt numFmtId="170" formatCode="mmmm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FF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4" fontId="0" fillId="0" borderId="0" xfId="0" applyNumberFormat="1"/>
    <xf numFmtId="49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center"/>
    </xf>
    <xf numFmtId="49" fontId="0" fillId="2" borderId="0" xfId="0" applyNumberFormat="1" applyFill="1"/>
    <xf numFmtId="0" fontId="2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8" xfId="0" applyFont="1" applyFill="1" applyBorder="1"/>
    <xf numFmtId="0" fontId="6" fillId="3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49" fontId="2" fillId="0" borderId="0" xfId="0" applyNumberFormat="1" applyFont="1"/>
    <xf numFmtId="4" fontId="2" fillId="0" borderId="0" xfId="0" applyNumberFormat="1" applyFont="1"/>
    <xf numFmtId="4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6" fontId="2" fillId="0" borderId="0" xfId="0" applyNumberFormat="1" applyFont="1"/>
    <xf numFmtId="164" fontId="2" fillId="0" borderId="0" xfId="0" applyNumberFormat="1" applyFont="1"/>
    <xf numFmtId="165" fontId="2" fillId="6" borderId="12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2" fillId="8" borderId="15" xfId="0" applyFont="1" applyFill="1" applyBorder="1"/>
    <xf numFmtId="49" fontId="2" fillId="8" borderId="16" xfId="0" applyNumberFormat="1" applyFont="1" applyFill="1" applyBorder="1" applyAlignment="1">
      <alignment horizontal="center"/>
    </xf>
    <xf numFmtId="49" fontId="2" fillId="8" borderId="17" xfId="0" applyNumberFormat="1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167" fontId="0" fillId="0" borderId="0" xfId="0" applyNumberFormat="1"/>
    <xf numFmtId="0" fontId="2" fillId="9" borderId="0" xfId="0" applyFont="1" applyFill="1"/>
    <xf numFmtId="0" fontId="2" fillId="10" borderId="0" xfId="0" applyFont="1" applyFill="1"/>
    <xf numFmtId="168" fontId="2" fillId="11" borderId="0" xfId="2" applyNumberFormat="1" applyFont="1" applyFill="1"/>
    <xf numFmtId="0" fontId="0" fillId="12" borderId="0" xfId="0" applyFill="1"/>
    <xf numFmtId="0" fontId="4" fillId="13" borderId="0" xfId="0" applyFont="1" applyFill="1"/>
    <xf numFmtId="168" fontId="4" fillId="12" borderId="0" xfId="2" applyNumberFormat="1" applyFont="1" applyFill="1"/>
    <xf numFmtId="169" fontId="0" fillId="12" borderId="0" xfId="0" applyNumberFormat="1" applyFill="1"/>
    <xf numFmtId="0" fontId="0" fillId="14" borderId="0" xfId="0" applyFill="1"/>
    <xf numFmtId="0" fontId="9" fillId="10" borderId="38" xfId="0" applyFont="1" applyFill="1" applyBorder="1"/>
    <xf numFmtId="0" fontId="9" fillId="9" borderId="38" xfId="0" applyFont="1" applyFill="1" applyBorder="1"/>
    <xf numFmtId="168" fontId="9" fillId="11" borderId="38" xfId="2" applyNumberFormat="1" applyFont="1" applyFill="1" applyBorder="1"/>
    <xf numFmtId="3" fontId="0" fillId="12" borderId="0" xfId="0" applyNumberFormat="1" applyFill="1"/>
    <xf numFmtId="49" fontId="0" fillId="12" borderId="0" xfId="0" applyNumberFormat="1" applyFill="1"/>
    <xf numFmtId="170" fontId="8" fillId="16" borderId="0" xfId="1" applyNumberFormat="1" applyFont="1" applyFill="1"/>
    <xf numFmtId="0" fontId="8" fillId="16" borderId="0" xfId="1" applyFont="1" applyFill="1" applyAlignment="1">
      <alignment horizontal="center"/>
    </xf>
    <xf numFmtId="0" fontId="4" fillId="0" borderId="0" xfId="1"/>
    <xf numFmtId="3" fontId="10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3" fontId="4" fillId="0" borderId="0" xfId="1" applyNumberFormat="1"/>
    <xf numFmtId="170" fontId="8" fillId="16" borderId="19" xfId="1" applyNumberFormat="1" applyFont="1" applyFill="1" applyBorder="1"/>
    <xf numFmtId="0" fontId="8" fillId="16" borderId="20" xfId="1" applyFont="1" applyFill="1" applyBorder="1" applyAlignment="1">
      <alignment horizontal="center"/>
    </xf>
    <xf numFmtId="170" fontId="8" fillId="16" borderId="21" xfId="1" applyNumberFormat="1" applyFont="1" applyFill="1" applyBorder="1"/>
    <xf numFmtId="0" fontId="8" fillId="16" borderId="22" xfId="1" applyFont="1" applyFill="1" applyBorder="1" applyAlignment="1">
      <alignment horizontal="center"/>
    </xf>
    <xf numFmtId="3" fontId="2" fillId="0" borderId="23" xfId="1" applyNumberFormat="1" applyFont="1" applyBorder="1" applyAlignment="1">
      <alignment vertical="center"/>
    </xf>
    <xf numFmtId="3" fontId="2" fillId="0" borderId="24" xfId="1" applyNumberFormat="1" applyFont="1" applyBorder="1" applyAlignment="1">
      <alignment vertical="center"/>
    </xf>
    <xf numFmtId="3" fontId="10" fillId="0" borderId="1" xfId="1" applyNumberFormat="1" applyFont="1" applyBorder="1" applyAlignment="1">
      <alignment horizontal="center"/>
    </xf>
    <xf numFmtId="3" fontId="2" fillId="0" borderId="6" xfId="1" applyNumberFormat="1" applyFont="1" applyBorder="1" applyAlignment="1">
      <alignment vertical="center"/>
    </xf>
    <xf numFmtId="3" fontId="10" fillId="0" borderId="25" xfId="1" applyNumberFormat="1" applyFont="1" applyBorder="1" applyAlignment="1">
      <alignment horizontal="center"/>
    </xf>
    <xf numFmtId="3" fontId="2" fillId="0" borderId="26" xfId="1" applyNumberFormat="1" applyFont="1" applyBorder="1" applyAlignment="1">
      <alignment vertical="center"/>
    </xf>
    <xf numFmtId="3" fontId="10" fillId="0" borderId="2" xfId="1" applyNumberFormat="1" applyFont="1" applyBorder="1" applyAlignment="1">
      <alignment horizontal="center"/>
    </xf>
    <xf numFmtId="3" fontId="2" fillId="0" borderId="8" xfId="1" applyNumberFormat="1" applyFont="1" applyBorder="1" applyAlignment="1">
      <alignment vertic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8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 vertical="center" wrapText="1"/>
    </xf>
    <xf numFmtId="0" fontId="8" fillId="15" borderId="0" xfId="1" applyFont="1" applyFill="1" applyAlignment="1">
      <alignment horizontal="center" vertical="center" wrapText="1"/>
    </xf>
    <xf numFmtId="0" fontId="8" fillId="15" borderId="27" xfId="1" applyFont="1" applyFill="1" applyBorder="1" applyAlignment="1">
      <alignment horizontal="center" vertical="center" wrapText="1"/>
    </xf>
    <xf numFmtId="0" fontId="8" fillId="15" borderId="28" xfId="1" applyFont="1" applyFill="1" applyBorder="1" applyAlignment="1">
      <alignment horizontal="center" vertical="center" wrapText="1"/>
    </xf>
    <xf numFmtId="0" fontId="8" fillId="15" borderId="29" xfId="1" applyFont="1" applyFill="1" applyBorder="1" applyAlignment="1">
      <alignment horizontal="center" vertical="center" wrapText="1"/>
    </xf>
    <xf numFmtId="0" fontId="8" fillId="15" borderId="30" xfId="1" applyFont="1" applyFill="1" applyBorder="1" applyAlignment="1">
      <alignment horizontal="center" vertical="center" wrapText="1"/>
    </xf>
    <xf numFmtId="0" fontId="8" fillId="15" borderId="31" xfId="1" applyFont="1" applyFill="1" applyBorder="1" applyAlignment="1">
      <alignment horizontal="center" vertical="center" wrapText="1"/>
    </xf>
    <xf numFmtId="0" fontId="8" fillId="15" borderId="32" xfId="1" applyFont="1" applyFill="1" applyBorder="1" applyAlignment="1">
      <alignment horizontal="center" vertical="center" wrapText="1"/>
    </xf>
    <xf numFmtId="0" fontId="8" fillId="15" borderId="5" xfId="1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1" applyFont="1"/>
    <xf numFmtId="169" fontId="9" fillId="16" borderId="38" xfId="0" applyNumberFormat="1" applyFont="1" applyFill="1" applyBorder="1"/>
    <xf numFmtId="0" fontId="2" fillId="10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49" fontId="0" fillId="12" borderId="0" xfId="0" applyNumberFormat="1" applyFill="1" applyAlignment="1">
      <alignment horizontal="center"/>
    </xf>
    <xf numFmtId="0" fontId="0" fillId="0" borderId="0" xfId="0" quotePrefix="1"/>
    <xf numFmtId="0" fontId="6" fillId="7" borderId="14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5" fontId="2" fillId="4" borderId="3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3" fillId="5" borderId="30" xfId="0" applyNumberFormat="1" applyFont="1" applyFill="1" applyBorder="1" applyAlignment="1">
      <alignment horizontal="center" vertical="center"/>
    </xf>
    <xf numFmtId="49" fontId="3" fillId="5" borderId="21" xfId="0" applyNumberFormat="1" applyFont="1" applyFill="1" applyBorder="1" applyAlignment="1">
      <alignment horizontal="center" vertical="center"/>
    </xf>
    <xf numFmtId="49" fontId="3" fillId="5" borderId="3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32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Fill="1"/>
    <xf numFmtId="4" fontId="0" fillId="0" borderId="0" xfId="0" applyNumberFormat="1" applyFill="1"/>
    <xf numFmtId="49" fontId="0" fillId="0" borderId="0" xfId="0" applyNumberFormat="1" applyFill="1"/>
    <xf numFmtId="4" fontId="0" fillId="0" borderId="0" xfId="0" quotePrefix="1" applyNumberFormat="1" applyFill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</cellXfs>
  <cellStyles count="3">
    <cellStyle name="Normal" xfId="0" builtinId="0"/>
    <cellStyle name="Normal 2" xfId="1" xr:uid="{874D0800-4F10-415A-A766-431B5CC7724E}"/>
    <cellStyle name="Vírgula 2" xfId="2" xr:uid="{FF5908BA-01C0-4235-834E-D9E830E14DD0}"/>
  </cellStyles>
  <dxfs count="12">
    <dxf>
      <fill>
        <patternFill patternType="solid">
          <fgColor indexed="64"/>
          <bgColor theme="0"/>
        </patternFill>
      </fill>
    </dxf>
    <dxf>
      <numFmt numFmtId="169" formatCode="mm\.yy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_-* #,##0_-;\-* #,##0_-;_-* &quot;-&quot;??_-;_-@_-"/>
      <fill>
        <patternFill patternType="solid">
          <fgColor indexed="64"/>
          <bgColor theme="0"/>
        </patternFill>
      </fill>
    </dxf>
    <dxf>
      <numFmt numFmtId="168" formatCode="_-* #,##0_-;\-* #,##0_-;_-* &quot;-&quot;??_-;_-@_-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9229" name="Picture 1" descr="impress_logo_4c">
          <a:extLst>
            <a:ext uri="{FF2B5EF4-FFF2-40B4-BE49-F238E27FC236}">
              <a16:creationId xmlns:a16="http://schemas.microsoft.com/office/drawing/2014/main" id="{4B14D915-EF93-832B-FA60-997B540B2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10253" name="Picture 1" descr="impress_logo_4c">
          <a:extLst>
            <a:ext uri="{FF2B5EF4-FFF2-40B4-BE49-F238E27FC236}">
              <a16:creationId xmlns:a16="http://schemas.microsoft.com/office/drawing/2014/main" id="{05EF74F7-1B87-71C9-41DF-3E978A57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11277" name="Picture 1" descr="impress_logo_4c">
          <a:extLst>
            <a:ext uri="{FF2B5EF4-FFF2-40B4-BE49-F238E27FC236}">
              <a16:creationId xmlns:a16="http://schemas.microsoft.com/office/drawing/2014/main" id="{FFE48E66-4831-03DF-CCCF-10835835C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12301" name="Picture 1" descr="impress_logo_4c">
          <a:extLst>
            <a:ext uri="{FF2B5EF4-FFF2-40B4-BE49-F238E27FC236}">
              <a16:creationId xmlns:a16="http://schemas.microsoft.com/office/drawing/2014/main" id="{05ADD75F-1955-A9F9-E6E5-EB44E472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13325" name="Picture 1" descr="impress_logo_4c">
          <a:extLst>
            <a:ext uri="{FF2B5EF4-FFF2-40B4-BE49-F238E27FC236}">
              <a16:creationId xmlns:a16="http://schemas.microsoft.com/office/drawing/2014/main" id="{8F1D00B8-B428-0FC7-8635-E73A2A5A1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14349" name="Picture 1" descr="impress_logo_4c">
          <a:extLst>
            <a:ext uri="{FF2B5EF4-FFF2-40B4-BE49-F238E27FC236}">
              <a16:creationId xmlns:a16="http://schemas.microsoft.com/office/drawing/2014/main" id="{58104E2C-A499-4A64-6E1D-CD2FE606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57150</xdr:rowOff>
    </xdr:from>
    <xdr:to>
      <xdr:col>1</xdr:col>
      <xdr:colOff>1971675</xdr:colOff>
      <xdr:row>3</xdr:row>
      <xdr:rowOff>0</xdr:rowOff>
    </xdr:to>
    <xdr:pic>
      <xdr:nvPicPr>
        <xdr:cNvPr id="15373" name="Picture 1" descr="impress_logo_4c">
          <a:extLst>
            <a:ext uri="{FF2B5EF4-FFF2-40B4-BE49-F238E27FC236}">
              <a16:creationId xmlns:a16="http://schemas.microsoft.com/office/drawing/2014/main" id="{537311B5-8F9D-A618-A436-B9E010A7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9075"/>
          <a:ext cx="22288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y Lima Gonçalves Wojcik" refreshedDate="46205.457445370368" createdVersion="8" refreshedVersion="8" minRefreshableVersion="3" recordCount="73" xr:uid="{A9BD000A-9807-44DA-BF60-994A8F2713B9}">
  <cacheSource type="worksheet">
    <worksheetSource ref="A3:BR76" sheet="Reunido"/>
  </cacheSource>
  <cacheFields count="70">
    <cacheField name="SUPPLIERS" numFmtId="0">
      <sharedItems count="13">
        <s v="CART01 / CARTIERE DI GUARCINO S.P.A. / ITA"/>
        <s v="HUAW01 / HANGZHOU HUAWANG NEW MATERIAL TECHNOLOGY CO."/>
        <s v="KING01 / KINGDECOR (ZHEJIANG) CO., LTD"/>
        <s v="KOEH02 / KOEHLER PAPER SE / DEU"/>
        <s v="MALT01 / MALTA-DECOR SP. Z O. O. / POL"/>
        <s v="MLTV01 / VF PAPEIS S.A. / BRA"/>
        <s v="MUNK01 / MUNKSJO UNTERKOCHEN GMBH / DEU"/>
        <s v="MUNK04 / MUNKSJO PAPER S/A DETTINGEN / DEU"/>
        <s v="MUNK07 / MUNKSJO TOLOSA S.A.U.  / ESP"/>
        <s v="MUNK09 / MUNKSJO CAIEIRAS LTDA / BRA"/>
        <s v="SUNS01 / CENTURY SUNSHINE (SHOUGUANG) SPECIALTY PAPER CO., LTD."/>
        <s v="TECH01 / Felix Schoeller GmbH &amp; Co. / DEU"/>
        <s v="ULTR02 / ULTRA DECOR RUS, LLC"/>
      </sharedItems>
    </cacheField>
    <cacheField name="Item" numFmtId="0">
      <sharedItems/>
    </cacheField>
    <cacheField name="Paper Type" numFmtId="0">
      <sharedItems/>
    </cacheField>
    <cacheField name="Width" numFmtId="0">
      <sharedItems containsMixedTypes="1" containsNumber="1" containsInteger="1" minValue="1270" maxValue="2175"/>
    </cacheField>
    <cacheField name="Kg" numFmtId="4">
      <sharedItems containsSemiMixedTypes="0" containsString="0" containsNumber="1" containsInteger="1" minValue="0" maxValue="51051"/>
    </cacheField>
    <cacheField name="R$/kg" numFmtId="4">
      <sharedItems containsSemiMixedTypes="0" containsString="0" containsNumber="1" minValue="0" maxValue="20.444538000000001"/>
    </cacheField>
    <cacheField name="EUR/kg" numFmtId="4">
      <sharedItems containsSemiMixedTypes="0" containsString="0" containsNumber="1" minValue="0" maxValue="3.2574280204000003"/>
    </cacheField>
    <cacheField name="R$" numFmtId="4">
      <sharedItems containsSemiMixedTypes="0" containsString="0" containsNumber="1" minValue="0" maxValue="960770.61877199984"/>
    </cacheField>
    <cacheField name="EUR" numFmtId="4">
      <sharedItems containsSemiMixedTypes="0" containsString="0" containsNumber="1" minValue="0" maxValue="153079.57238859232"/>
    </cacheField>
    <cacheField name="Kg2" numFmtId="4">
      <sharedItems containsSemiMixedTypes="0" containsString="0" containsNumber="1" containsInteger="1" minValue="0" maxValue="122693"/>
    </cacheField>
    <cacheField name="R$/kg2" numFmtId="4">
      <sharedItems containsSemiMixedTypes="0" containsString="0" containsNumber="1" minValue="0" maxValue="14.208520000000002"/>
    </cacheField>
    <cacheField name="EUR/kg2" numFmtId="4">
      <sharedItems containsSemiMixedTypes="0" containsString="0" containsNumber="1" minValue="0" maxValue="2.3097736316000002"/>
    </cacheField>
    <cacheField name="R$2" numFmtId="4">
      <sharedItems containsSemiMixedTypes="0" containsString="0" containsNumber="1" minValue="0" maxValue="1743285.9443599998"/>
    </cacheField>
    <cacheField name="EUR2" numFmtId="4">
      <sharedItems containsSemiMixedTypes="0" containsString="0" containsNumber="1" minValue="0" maxValue="283393.0561845089"/>
    </cacheField>
    <cacheField name="Kg3" numFmtId="4">
      <sharedItems containsSemiMixedTypes="0" containsString="0" containsNumber="1" containsInteger="1" minValue="0" maxValue="374939"/>
    </cacheField>
    <cacheField name="R$/kg3" numFmtId="4">
      <sharedItems containsSemiMixedTypes="0" containsString="0" containsNumber="1" minValue="0" maxValue="24.835000000000001"/>
    </cacheField>
    <cacheField name="EUR/kg3" numFmtId="4">
      <sharedItems containsSemiMixedTypes="0" containsString="0" containsNumber="1" minValue="0" maxValue="4.107561264713179"/>
    </cacheField>
    <cacheField name="R$3" numFmtId="4">
      <sharedItems containsSemiMixedTypes="0" containsString="0" containsNumber="1" minValue="0" maxValue="4318251.1300000008"/>
    </cacheField>
    <cacheField name="EUR3" numFmtId="4">
      <sharedItems containsSemiMixedTypes="0" containsString="0" containsNumber="1" minValue="0" maxValue="714213.04903933627"/>
    </cacheField>
    <cacheField name="Kg4" numFmtId="4">
      <sharedItems containsSemiMixedTypes="0" containsString="0" containsNumber="1" containsInteger="1" minValue="0" maxValue="190866"/>
    </cacheField>
    <cacheField name="R$/kg4" numFmtId="0">
      <sharedItems containsSemiMixedTypes="0" containsString="0" containsNumber="1" minValue="0" maxValue="31.76"/>
    </cacheField>
    <cacheField name="EUR/kg4" numFmtId="4">
      <sharedItems containsSemiMixedTypes="0" containsString="0" containsNumber="1" minValue="0" maxValue="5.3921672658435238"/>
    </cacheField>
    <cacheField name="R$4" numFmtId="4">
      <sharedItems containsSemiMixedTypes="0" containsString="0" containsNumber="1" minValue="0" maxValue="2168071.2200000002"/>
    </cacheField>
    <cacheField name="EUR4" numFmtId="4">
      <sharedItems containsSemiMixedTypes="0" containsString="0" containsNumber="1" minValue="0" maxValue="368092.02337850863"/>
    </cacheField>
    <cacheField name="Kg5" numFmtId="4">
      <sharedItems containsSemiMixedTypes="0" containsString="0" containsNumber="1" containsInteger="1" minValue="0" maxValue="298861"/>
    </cacheField>
    <cacheField name="R$/kg5" numFmtId="4">
      <sharedItems containsSemiMixedTypes="0" containsString="0" containsNumber="1" minValue="0" maxValue="31.76"/>
    </cacheField>
    <cacheField name="EUR/kg5" numFmtId="4">
      <sharedItems containsSemiMixedTypes="0" containsString="0" containsNumber="1" minValue="0" maxValue="5.4583670614358466"/>
    </cacheField>
    <cacheField name="R$5" numFmtId="4">
      <sharedItems containsSemiMixedTypes="0" containsString="0" containsNumber="1" minValue="0" maxValue="3296916.5"/>
    </cacheField>
    <cacheField name="EUR5" numFmtId="4">
      <sharedItems containsSemiMixedTypes="0" containsString="0" containsNumber="1" minValue="0" maxValue="566617.77165945701"/>
    </cacheField>
    <cacheField name="Kg6" numFmtId="0">
      <sharedItems containsSemiMixedTypes="0" containsString="0" containsNumber="1" containsInteger="1" minValue="0" maxValue="103988"/>
    </cacheField>
    <cacheField name="R$/kg6" numFmtId="0">
      <sharedItems containsSemiMixedTypes="0" containsString="0" containsNumber="1" minValue="0" maxValue="31.76"/>
    </cacheField>
    <cacheField name="EUR/kg6" numFmtId="4">
      <sharedItems containsSemiMixedTypes="0" containsString="0" containsNumber="1" minValue="0" maxValue="5.382247202798613"/>
    </cacheField>
    <cacheField name="R$6" numFmtId="4">
      <sharedItems containsSemiMixedTypes="0" containsString="0" containsNumber="1" minValue="0" maxValue="1156390.06"/>
    </cacheField>
    <cacheField name="EUR6" numFmtId="4">
      <sharedItems containsSemiMixedTypes="0" containsString="0" containsNumber="1" minValue="0" maxValue="195969.05433813352"/>
    </cacheField>
    <cacheField name="Kg7" numFmtId="4">
      <sharedItems containsSemiMixedTypes="0" containsString="0" containsNumber="1" containsInteger="1" minValue="0" maxValue="0"/>
    </cacheField>
    <cacheField name="R$/kg7" numFmtId="4">
      <sharedItems containsSemiMixedTypes="0" containsString="0" containsNumber="1" containsInteger="1" minValue="0" maxValue="0"/>
    </cacheField>
    <cacheField name="EUR/kg7" numFmtId="4">
      <sharedItems containsSemiMixedTypes="0" containsString="0" containsNumber="1" containsInteger="1" minValue="0" maxValue="0"/>
    </cacheField>
    <cacheField name="R$7" numFmtId="4">
      <sharedItems containsSemiMixedTypes="0" containsString="0" containsNumber="1" containsInteger="1" minValue="0" maxValue="0"/>
    </cacheField>
    <cacheField name="EUR7" numFmtId="4">
      <sharedItems containsSemiMixedTypes="0" containsString="0" containsNumber="1" containsInteger="1" minValue="0" maxValue="0"/>
    </cacheField>
    <cacheField name="Kg8" numFmtId="4">
      <sharedItems containsSemiMixedTypes="0" containsString="0" containsNumber="1" containsInteger="1" minValue="0" maxValue="0"/>
    </cacheField>
    <cacheField name="R$/kg8" numFmtId="4">
      <sharedItems containsSemiMixedTypes="0" containsString="0" containsNumber="1" containsInteger="1" minValue="0" maxValue="0"/>
    </cacheField>
    <cacheField name="EUR/kg8" numFmtId="4">
      <sharedItems containsSemiMixedTypes="0" containsString="0" containsNumber="1" containsInteger="1" minValue="0" maxValue="0"/>
    </cacheField>
    <cacheField name="R$8" numFmtId="4">
      <sharedItems containsSemiMixedTypes="0" containsString="0" containsNumber="1" containsInteger="1" minValue="0" maxValue="0"/>
    </cacheField>
    <cacheField name="EUR8" numFmtId="4">
      <sharedItems containsSemiMixedTypes="0" containsString="0" containsNumber="1" containsInteger="1" minValue="0" maxValue="0"/>
    </cacheField>
    <cacheField name="Kg9" numFmtId="4">
      <sharedItems containsSemiMixedTypes="0" containsString="0" containsNumber="1" containsInteger="1" minValue="0" maxValue="0"/>
    </cacheField>
    <cacheField name="R$/kg9" numFmtId="4">
      <sharedItems containsSemiMixedTypes="0" containsString="0" containsNumber="1" containsInteger="1" minValue="0" maxValue="0"/>
    </cacheField>
    <cacheField name="EUR/kg9" numFmtId="4">
      <sharedItems containsSemiMixedTypes="0" containsString="0" containsNumber="1" containsInteger="1" minValue="0" maxValue="0"/>
    </cacheField>
    <cacheField name="R$9" numFmtId="4">
      <sharedItems containsSemiMixedTypes="0" containsString="0" containsNumber="1" containsInteger="1" minValue="0" maxValue="0"/>
    </cacheField>
    <cacheField name="EUR9" numFmtId="4">
      <sharedItems containsSemiMixedTypes="0" containsString="0" containsNumber="1" containsInteger="1" minValue="0" maxValue="0"/>
    </cacheField>
    <cacheField name="Kg10" numFmtId="4">
      <sharedItems containsSemiMixedTypes="0" containsString="0" containsNumber="1" containsInteger="1" minValue="0" maxValue="0"/>
    </cacheField>
    <cacheField name="R$/kg10" numFmtId="4">
      <sharedItems containsSemiMixedTypes="0" containsString="0" containsNumber="1" containsInteger="1" minValue="0" maxValue="0"/>
    </cacheField>
    <cacheField name="EUR/kg10" numFmtId="4">
      <sharedItems containsSemiMixedTypes="0" containsString="0" containsNumber="1" containsInteger="1" minValue="0" maxValue="0"/>
    </cacheField>
    <cacheField name="R$10" numFmtId="4">
      <sharedItems containsSemiMixedTypes="0" containsString="0" containsNumber="1" containsInteger="1" minValue="0" maxValue="0"/>
    </cacheField>
    <cacheField name="EUR10" numFmtId="4">
      <sharedItems containsSemiMixedTypes="0" containsString="0" containsNumber="1" containsInteger="1" minValue="0" maxValue="0"/>
    </cacheField>
    <cacheField name="Kg11" numFmtId="4">
      <sharedItems containsSemiMixedTypes="0" containsString="0" containsNumber="1" containsInteger="1" minValue="0" maxValue="0"/>
    </cacheField>
    <cacheField name="R$/kg11" numFmtId="4">
      <sharedItems containsSemiMixedTypes="0" containsString="0" containsNumber="1" containsInteger="1" minValue="0" maxValue="0"/>
    </cacheField>
    <cacheField name="EUR/kg11" numFmtId="4">
      <sharedItems containsSemiMixedTypes="0" containsString="0" containsNumber="1" containsInteger="1" minValue="0" maxValue="0"/>
    </cacheField>
    <cacheField name="R$11" numFmtId="4">
      <sharedItems containsSemiMixedTypes="0" containsString="0" containsNumber="1" containsInteger="1" minValue="0" maxValue="0"/>
    </cacheField>
    <cacheField name="EUR11" numFmtId="4">
      <sharedItems containsSemiMixedTypes="0" containsString="0" containsNumber="1" containsInteger="1" minValue="0" maxValue="0"/>
    </cacheField>
    <cacheField name="Kg12" numFmtId="4">
      <sharedItems containsSemiMixedTypes="0" containsString="0" containsNumber="1" containsInteger="1" minValue="0" maxValue="0"/>
    </cacheField>
    <cacheField name="R$/kg12" numFmtId="4">
      <sharedItems containsSemiMixedTypes="0" containsString="0" containsNumber="1" containsInteger="1" minValue="0" maxValue="0"/>
    </cacheField>
    <cacheField name="EUR/kg12" numFmtId="4">
      <sharedItems containsSemiMixedTypes="0" containsString="0" containsNumber="1" containsInteger="1" minValue="0" maxValue="0"/>
    </cacheField>
    <cacheField name="R$12" numFmtId="4">
      <sharedItems containsSemiMixedTypes="0" containsString="0" containsNumber="1" containsInteger="1" minValue="0" maxValue="0"/>
    </cacheField>
    <cacheField name="EUR12" numFmtId="4">
      <sharedItems containsSemiMixedTypes="0" containsString="0" containsNumber="1" containsInteger="1" minValue="0" maxValue="0"/>
    </cacheField>
    <cacheField name="Kg13" numFmtId="4">
      <sharedItems containsSemiMixedTypes="0" containsString="0" containsNumber="1" containsInteger="1" minValue="818" maxValue="896723"/>
    </cacheField>
    <cacheField name="R$13" numFmtId="4">
      <sharedItems containsSemiMixedTypes="0" containsString="0" containsNumber="1" minValue="6037.94" maxValue="10063299.090000002"/>
    </cacheField>
    <cacheField name="EUR13" numFmtId="4">
      <sharedItems containsSemiMixedTypes="0" containsString="0" containsNumber="1" minValue="1025.1127966349889" maxValue="1696214.1259778566"/>
    </cacheField>
    <cacheField name="Avg price / kg" numFmtId="167">
      <sharedItems containsSemiMixedTypes="0" containsString="0" containsNumber="1" minValue="0.97674777086607545" maxValue="5.4227549049409172"/>
    </cacheField>
    <cacheField name="Material Group" numFmtId="0">
      <sharedItems/>
    </cacheField>
    <cacheField name="Cla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s v="7004664"/>
    <s v="PBM 05 0248 065 CART"/>
    <n v="2060"/>
    <n v="0"/>
    <n v="0"/>
    <n v="0"/>
    <n v="0"/>
    <n v="0"/>
    <n v="0"/>
    <n v="0"/>
    <n v="0"/>
    <n v="0"/>
    <n v="0"/>
    <n v="1366"/>
    <n v="13.55"/>
    <n v="2.2410893954847424"/>
    <n v="18506.52"/>
    <n v="3060.8683187694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6"/>
    <n v="18506.52"/>
    <n v="3060.8683187694683"/>
    <n v="2.2407527955852622"/>
    <s v="Print"/>
    <m/>
  </r>
  <r>
    <x v="0"/>
    <s v="7002369"/>
    <s v="DPU 01 0002 80 CART"/>
    <n v="1865"/>
    <n v="0"/>
    <n v="0"/>
    <n v="0"/>
    <n v="0"/>
    <n v="0"/>
    <n v="0"/>
    <n v="0"/>
    <n v="0"/>
    <n v="0"/>
    <n v="0"/>
    <n v="0"/>
    <n v="0"/>
    <n v="0"/>
    <n v="0"/>
    <n v="0"/>
    <n v="7391"/>
    <n v="16.98"/>
    <n v="2.8828400558571485"/>
    <n v="125470.72"/>
    <n v="21302.238954843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1"/>
    <n v="125470.72"/>
    <n v="21302.238954843146"/>
    <n v="2.8821863015617839"/>
    <s v="IP"/>
    <s v="white"/>
  </r>
  <r>
    <x v="0"/>
    <s v="7004755"/>
    <s v="PBM 05 0483 068 CART"/>
    <n v="1870"/>
    <n v="0"/>
    <n v="0"/>
    <n v="0"/>
    <n v="0"/>
    <n v="0"/>
    <n v="0"/>
    <n v="0"/>
    <n v="0"/>
    <n v="0"/>
    <n v="0"/>
    <n v="0"/>
    <n v="0"/>
    <n v="0"/>
    <n v="0"/>
    <n v="0"/>
    <n v="7695"/>
    <n v="13.85"/>
    <n v="2.3514331433228213"/>
    <n v="106551.93"/>
    <n v="18090.233912419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5"/>
    <n v="106551.93"/>
    <n v="18090.233912419728"/>
    <n v="2.3509075909577293"/>
    <s v="Print"/>
    <m/>
  </r>
  <r>
    <x v="0"/>
    <s v="7004756"/>
    <s v="PBM 05 689 068 CART"/>
    <n v="1870"/>
    <n v="0"/>
    <n v="0"/>
    <n v="0"/>
    <n v="0"/>
    <n v="0"/>
    <n v="0"/>
    <n v="0"/>
    <n v="0"/>
    <n v="0"/>
    <n v="0"/>
    <n v="0"/>
    <n v="0"/>
    <n v="0"/>
    <n v="0"/>
    <n v="0"/>
    <n v="6437"/>
    <n v="13.85"/>
    <n v="2.3514331433228213"/>
    <n v="89132.53"/>
    <n v="15132.793154528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37"/>
    <n v="89132.53"/>
    <n v="15132.793154528208"/>
    <n v="2.3509077449942843"/>
    <s v="Print"/>
    <m/>
  </r>
  <r>
    <x v="1"/>
    <s v="18.856"/>
    <s v="HUAWON GRAY HG5089 (689) 68G/M2 1870MM (FSC MC)"/>
    <s v="1870"/>
    <n v="25137"/>
    <n v="13.702960000000001"/>
    <n v="2.1832924699"/>
    <n v="344451.30552000005"/>
    <n v="54881.422815664708"/>
    <n v="25228"/>
    <n v="13.602141999999997"/>
    <n v="2.2111992611"/>
    <n v="343154.838376"/>
    <n v="55784.134958753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365"/>
    <n v="687606.14389599999"/>
    <n v="110665.55777441792"/>
    <n v="2.1972710766289669"/>
    <s v="Print"/>
    <m/>
  </r>
  <r>
    <x v="1"/>
    <s v="7002028"/>
    <s v="PBM 01 1833 070 HUAW  "/>
    <n v="1860"/>
    <n v="0"/>
    <n v="0"/>
    <n v="0"/>
    <n v="0"/>
    <n v="0"/>
    <n v="0"/>
    <n v="0"/>
    <n v="0"/>
    <n v="0"/>
    <n v="0"/>
    <n v="2030"/>
    <n v="9.44"/>
    <n v="1.5613198445295915"/>
    <n v="19153.439999999999"/>
    <n v="3167.8650384541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0"/>
    <n v="19153.439999999999"/>
    <n v="3167.8650384541165"/>
    <n v="1.5605246494847864"/>
    <s v="Print"/>
    <m/>
  </r>
  <r>
    <x v="1"/>
    <s v="2010899"/>
    <s v="PBM 05 0483 068 HUAW (5083)"/>
    <n v="1870"/>
    <n v="0"/>
    <n v="0"/>
    <n v="0"/>
    <n v="0"/>
    <n v="0"/>
    <n v="0"/>
    <n v="0"/>
    <n v="0"/>
    <n v="0"/>
    <n v="0"/>
    <n v="0"/>
    <n v="0"/>
    <n v="0"/>
    <n v="0"/>
    <n v="0"/>
    <n v="190866"/>
    <n v="11.406666666666666"/>
    <n v="1.9366075129845233"/>
    <n v="2168071.2200000002"/>
    <n v="368092.02337850863"/>
    <n v="49815"/>
    <n v="11.4"/>
    <n v="1.9592375472408265"/>
    <n v="567892.49"/>
    <n v="97599.674491586455"/>
    <n v="49515"/>
    <n v="11.504795920428153"/>
    <n v="1.949674296646515"/>
    <n v="569659.97"/>
    <n v="96538.122798452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196"/>
    <n v="3305623.6799999997"/>
    <n v="562229.8206685473"/>
    <n v="1.9374140948481278"/>
    <s v="Print"/>
    <m/>
  </r>
  <r>
    <x v="1"/>
    <s v="2090448"/>
    <s v="PBM 05 689 068 HUAW  (5089)"/>
    <n v="1870"/>
    <n v="0"/>
    <n v="0"/>
    <n v="0"/>
    <n v="0"/>
    <n v="0"/>
    <n v="0"/>
    <n v="0"/>
    <n v="0"/>
    <n v="0"/>
    <n v="0"/>
    <n v="0"/>
    <n v="0"/>
    <n v="0"/>
    <n v="0"/>
    <n v="0"/>
    <n v="75156"/>
    <n v="11.32"/>
    <n v="1.9218933705714323"/>
    <n v="847291.6"/>
    <n v="143851.95309018213"/>
    <n v="0"/>
    <n v="0"/>
    <n v="0"/>
    <n v="0"/>
    <n v="0"/>
    <n v="49727"/>
    <n v="11.461659862851167"/>
    <n v="1.9423641919477275"/>
    <n v="569953.96"/>
    <n v="96587.944172984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883"/>
    <n v="1417245.56"/>
    <n v="240439.89726316679"/>
    <n v="1.925321278822312"/>
    <s v="Print"/>
    <m/>
  </r>
  <r>
    <x v="1"/>
    <s v="7002372"/>
    <s v="PBM 05 0248 065 HUAW  "/>
    <n v="1870"/>
    <n v="0"/>
    <n v="0"/>
    <n v="0"/>
    <n v="0"/>
    <n v="0"/>
    <n v="0"/>
    <n v="0"/>
    <n v="0"/>
    <n v="0"/>
    <n v="0"/>
    <n v="0"/>
    <n v="0"/>
    <n v="0"/>
    <n v="0"/>
    <n v="0"/>
    <n v="100046"/>
    <n v="11.553333333333335"/>
    <n v="1.9615083693759086"/>
    <n v="1152059.73"/>
    <n v="195595.04925700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46"/>
    <n v="1152059.73"/>
    <n v="195595.04925700655"/>
    <n v="1.9550511690323107"/>
    <s v="Print"/>
    <m/>
  </r>
  <r>
    <x v="1"/>
    <s v="7004758"/>
    <s v="PBM 01 0004 070 HUAW"/>
    <n v="1870"/>
    <n v="0"/>
    <n v="0"/>
    <n v="0"/>
    <n v="0"/>
    <n v="0"/>
    <n v="0"/>
    <n v="0"/>
    <n v="0"/>
    <n v="0"/>
    <n v="0"/>
    <n v="0"/>
    <n v="0"/>
    <n v="0"/>
    <n v="0"/>
    <n v="0"/>
    <n v="5928"/>
    <n v="10.97"/>
    <n v="1.8624708723647185"/>
    <n v="65000.52"/>
    <n v="11035.6950946727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28"/>
    <n v="65000.52"/>
    <n v="11035.695094672774"/>
    <n v="1.8616219795331939"/>
    <s v="Print"/>
    <m/>
  </r>
  <r>
    <x v="1"/>
    <s v="7004759"/>
    <s v="DPU 01 0104 080 HUAW"/>
    <n v="1860"/>
    <n v="0"/>
    <n v="0"/>
    <n v="0"/>
    <n v="0"/>
    <n v="0"/>
    <n v="0"/>
    <n v="0"/>
    <n v="0"/>
    <n v="0"/>
    <n v="0"/>
    <n v="0"/>
    <n v="0"/>
    <n v="0"/>
    <n v="0"/>
    <n v="0"/>
    <n v="3078"/>
    <n v="10.97"/>
    <n v="1.8624708723647185"/>
    <n v="33750.269999999997"/>
    <n v="5730.0724530031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8"/>
    <n v="33750.269999999997"/>
    <n v="5730.0724530031703"/>
    <n v="1.8616219795331936"/>
    <s v="Print"/>
    <m/>
  </r>
  <r>
    <x v="2"/>
    <s v="7002362"/>
    <s v="PIP 01 9370 070 KING PO NEW WHITE "/>
    <n v="1880"/>
    <n v="0"/>
    <n v="0"/>
    <n v="0"/>
    <n v="0"/>
    <n v="0"/>
    <n v="0"/>
    <n v="0"/>
    <n v="0"/>
    <n v="0"/>
    <n v="0"/>
    <n v="0"/>
    <n v="0"/>
    <n v="0"/>
    <n v="0"/>
    <n v="0"/>
    <n v="45773"/>
    <n v="16.7"/>
    <n v="2.8353020572917771"/>
    <n v="764559.24"/>
    <n v="129805.77162236154"/>
    <n v="0"/>
    <n v="0"/>
    <n v="0"/>
    <n v="0"/>
    <n v="0"/>
    <n v="50485"/>
    <n v="16.95"/>
    <n v="2.8724524586724334"/>
    <n v="855926.73"/>
    <n v="145050.66902843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258"/>
    <n v="1620485.97"/>
    <n v="274856.44065079553"/>
    <n v="2.8554139983252877"/>
    <s v="FF"/>
    <m/>
  </r>
  <r>
    <x v="2"/>
    <s v="7004722"/>
    <s v="PBM 01 0087 050 KING  (XH1007D)"/>
    <n v="1870"/>
    <n v="0"/>
    <n v="0"/>
    <n v="0"/>
    <n v="0"/>
    <n v="0"/>
    <n v="0"/>
    <n v="0"/>
    <n v="0"/>
    <n v="0"/>
    <n v="0"/>
    <n v="0"/>
    <n v="0"/>
    <n v="0"/>
    <n v="0"/>
    <n v="0"/>
    <n v="841"/>
    <n v="7.18"/>
    <n v="1.2190101060691594"/>
    <n v="6037.94"/>
    <n v="1025.1127966349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1"/>
    <n v="6037.94"/>
    <n v="1025.1127966349889"/>
    <n v="1.2189212801842912"/>
    <s v="Print"/>
    <m/>
  </r>
  <r>
    <x v="2"/>
    <s v="7004757"/>
    <s v="PIP 01 9370 065 KING PO NEW WHITE "/>
    <n v="1880"/>
    <n v="0"/>
    <n v="0"/>
    <n v="0"/>
    <n v="0"/>
    <n v="0"/>
    <n v="0"/>
    <n v="0"/>
    <n v="0"/>
    <n v="0"/>
    <n v="0"/>
    <n v="0"/>
    <n v="0"/>
    <n v="0"/>
    <n v="0"/>
    <n v="0"/>
    <n v="5021"/>
    <n v="16.7"/>
    <n v="2.8353020572917771"/>
    <n v="83867.17"/>
    <n v="14238.847882649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21"/>
    <n v="83867.17"/>
    <n v="14238.847882649055"/>
    <n v="2.8358589688605966"/>
    <s v="FF"/>
    <m/>
  </r>
  <r>
    <x v="2"/>
    <s v="7004848"/>
    <s v="DPU 01 0104 070 KING"/>
    <n v="1870"/>
    <n v="0"/>
    <n v="0"/>
    <n v="0"/>
    <n v="0"/>
    <n v="0"/>
    <n v="0"/>
    <n v="0"/>
    <n v="0"/>
    <n v="0"/>
    <n v="0"/>
    <n v="0"/>
    <n v="0"/>
    <n v="0"/>
    <n v="0"/>
    <n v="0"/>
    <n v="50573"/>
    <n v="11.21"/>
    <n v="1.9032177282778939"/>
    <n v="566861.63"/>
    <n v="96240.9548346569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573"/>
    <n v="566861.63"/>
    <n v="96240.954834656906"/>
    <n v="1.9030105952713288"/>
    <s v="Print"/>
    <m/>
  </r>
  <r>
    <x v="3"/>
    <s v="14.108"/>
    <s v="KOEHLER 8269 ECO 68G/M2 1870MM  (FSC MC)"/>
    <s v="1870"/>
    <n v="51051"/>
    <n v="14.509954999999996"/>
    <n v="2.3118709746000001"/>
    <n v="740747.71270500007"/>
    <n v="118023.32512378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51"/>
    <n v="740747.71270500007"/>
    <n v="118023.32512378642"/>
    <n v="2.3118709745898496"/>
    <s v="Print"/>
    <m/>
  </r>
  <r>
    <x v="3"/>
    <s v="14.127"/>
    <s v="KOEHLER 8292 ECO 70G/M² 1870MM  LOP (FSC MC)"/>
    <s v="1870"/>
    <n v="24960"/>
    <n v="12.399134"/>
    <n v="1.9755538872999998"/>
    <n v="309482.38463999995"/>
    <n v="49309.82502675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60"/>
    <n v="309482.38463999995"/>
    <n v="49309.82502675349"/>
    <n v="1.9755538872898033"/>
    <s v="Print"/>
    <m/>
  </r>
  <r>
    <x v="3"/>
    <s v="7004665"/>
    <s v="PBM 05 0248 065 KOEH"/>
    <n v="2060"/>
    <n v="0"/>
    <n v="0"/>
    <n v="0"/>
    <n v="0"/>
    <n v="0"/>
    <n v="0"/>
    <n v="0"/>
    <n v="0"/>
    <n v="0"/>
    <n v="0"/>
    <n v="2296"/>
    <n v="13.91"/>
    <n v="2.3006312539625657"/>
    <n v="31939.33"/>
    <n v="5282.57518537916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6"/>
    <n v="31939.33"/>
    <n v="5282.5751853791653"/>
    <n v="2.3007731643637479"/>
    <s v="Print"/>
    <m/>
  </r>
  <r>
    <x v="3"/>
    <s v="2032265"/>
    <s v="PBM 02 8269 068 KOEH"/>
    <n v="1870"/>
    <n v="0"/>
    <n v="0"/>
    <n v="0"/>
    <n v="0"/>
    <n v="0"/>
    <n v="0"/>
    <n v="0"/>
    <n v="0"/>
    <n v="0"/>
    <n v="0"/>
    <n v="99116"/>
    <n v="12.405000000000001"/>
    <n v="2.0517132067149983"/>
    <n v="1229688.1000000001"/>
    <n v="203383.09672795434"/>
    <n v="0"/>
    <n v="0"/>
    <n v="0"/>
    <n v="0"/>
    <n v="0"/>
    <n v="50006"/>
    <n v="11.93"/>
    <n v="2.050324906893251"/>
    <n v="596565.18000000005"/>
    <n v="102527.44737127038"/>
    <n v="49574"/>
    <n v="12.094877960221083"/>
    <n v="2.049673270453102"/>
    <n v="599591.48"/>
    <n v="101610.50270944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696"/>
    <n v="2425844.7600000002"/>
    <n v="407521.04680866678"/>
    <n v="2.0509776080478055"/>
    <s v="Print"/>
    <m/>
  </r>
  <r>
    <x v="3"/>
    <s v="7000451"/>
    <s v="PBM 02 8292 070 KOEH LOP"/>
    <n v="1870"/>
    <n v="0"/>
    <n v="0"/>
    <n v="0"/>
    <n v="0"/>
    <n v="0"/>
    <n v="0"/>
    <n v="0"/>
    <n v="0"/>
    <n v="0"/>
    <n v="0"/>
    <n v="25900"/>
    <n v="10.4"/>
    <n v="1.7200981338037875"/>
    <n v="269435.21000000002"/>
    <n v="44562.980952118422"/>
    <n v="0"/>
    <n v="0"/>
    <n v="0"/>
    <n v="0"/>
    <n v="0"/>
    <n v="24590"/>
    <n v="10.08"/>
    <n v="1.7323784628234677"/>
    <n v="247785.76"/>
    <n v="42585.189882772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90"/>
    <n v="517220.97000000003"/>
    <n v="87148.170834890712"/>
    <n v="1.7260481448780098"/>
    <s v="Print"/>
    <m/>
  </r>
  <r>
    <x v="3"/>
    <s v="7000451"/>
    <s v="PBM 02 8292 070 KOEH LOP"/>
    <n v="2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43"/>
    <n v="10.94"/>
    <n v="1.8539604659514111"/>
    <n v="110982.9"/>
    <n v="18807.852741923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43"/>
    <n v="110982.9"/>
    <n v="18807.852741923114"/>
    <n v="1.8542692242850354"/>
    <s v="Print"/>
    <m/>
  </r>
  <r>
    <x v="3"/>
    <s v="7000463"/>
    <s v="PBM 01 8291 072 KOEH LOP 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67"/>
    <n v="11.7"/>
    <n v="1.9827547944818564"/>
    <n v="292055.03000000003"/>
    <n v="49493.462477354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67"/>
    <n v="292055.03000000003"/>
    <n v="49493.462477354064"/>
    <n v="1.9823552079686813"/>
    <s v="Print"/>
    <m/>
  </r>
  <r>
    <x v="4"/>
    <s v="7000450"/>
    <s v="PBM 02 0244 065 MALT"/>
    <n v="1870"/>
    <n v="0"/>
    <n v="0"/>
    <n v="0"/>
    <n v="0"/>
    <n v="0"/>
    <n v="0"/>
    <n v="0"/>
    <n v="0"/>
    <n v="0"/>
    <n v="0"/>
    <n v="60282"/>
    <n v="15.552500000000002"/>
    <n v="2.5722909832676351"/>
    <n v="937224.37999999989"/>
    <n v="155011.33721090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82"/>
    <n v="937224.37999999989"/>
    <n v="155011.33721090495"/>
    <n v="2.5714365351332895"/>
    <s v="Print"/>
    <m/>
  </r>
  <r>
    <x v="4"/>
    <s v="7004817"/>
    <s v="PBM 02 0204 050 MALT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4"/>
    <n v="12.84"/>
    <n v="2.1759462872775246"/>
    <n v="13275.07"/>
    <n v="2249.6759563745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4"/>
    <n v="13275.07"/>
    <n v="2249.6759563745522"/>
    <n v="2.1757020854686191"/>
    <s v="Print"/>
    <m/>
  </r>
  <r>
    <x v="5"/>
    <s v="10.801"/>
    <s v="MVP FINISH FOIL BRANCO 40 G/M² 1900MM  (FSC MC)"/>
    <s v="1900"/>
    <n v="30236"/>
    <n v="13.899908"/>
    <n v="2.2146721926000001"/>
    <n v="420277.618288"/>
    <n v="66962.828416061893"/>
    <n v="15029"/>
    <n v="14.103635000000001"/>
    <n v="2.2927232557000004"/>
    <n v="211963.53041500002"/>
    <n v="34457.337809843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265"/>
    <n v="632241.14870300004"/>
    <n v="101420.16622590559"/>
    <n v="2.2405869043611086"/>
    <s v="FF"/>
    <m/>
  </r>
  <r>
    <x v="5"/>
    <s v="10.805"/>
    <s v="MVP FINISH FOIL PARDO 40 G/M² 1900MM  (FSC MC)"/>
    <s v="1900"/>
    <n v="14324"/>
    <n v="12.363746000000001"/>
    <n v="1.9699155175999998"/>
    <n v="177098.29770400003"/>
    <n v="28217.069874520599"/>
    <n v="30382"/>
    <n v="12.468438999999998"/>
    <n v="2.0269015794999996"/>
    <n v="378816.11369800009"/>
    <n v="61581.323786917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706"/>
    <n v="555914.41140200011"/>
    <n v="89798.393661437614"/>
    <n v="2.0086429933663852"/>
    <s v="FF"/>
    <m/>
  </r>
  <r>
    <x v="5"/>
    <s v="10.860"/>
    <s v="MVP FFOIL BRANCO SUPER OPACIDADE 40 G/M2 1900MM (FSC MC)"/>
    <s v="1900"/>
    <n v="26786"/>
    <n v="18.913533999999999"/>
    <n v="3.0134931693999998"/>
    <n v="506617.92172400001"/>
    <n v="80719.428036871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86"/>
    <n v="506617.92172400001"/>
    <n v="80719.428036871803"/>
    <n v="3.0134931694494065"/>
    <s v="FF"/>
    <m/>
  </r>
  <r>
    <x v="5"/>
    <s v="7000470"/>
    <s v="PIP 01 9371 040 VERD HIGH OP "/>
    <n v="1900"/>
    <n v="0"/>
    <n v="0"/>
    <n v="0"/>
    <n v="0"/>
    <n v="0"/>
    <n v="0"/>
    <n v="0"/>
    <n v="0"/>
    <n v="0"/>
    <n v="0"/>
    <n v="53054"/>
    <n v="24.835000000000001"/>
    <n v="4.107561264713179"/>
    <n v="1316695.1600000001"/>
    <n v="217773.54687543071"/>
    <n v="23950"/>
    <n v="25.25"/>
    <n v="4.2869087991986454"/>
    <n v="604696.79"/>
    <n v="102664.55405537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04"/>
    <n v="1921391.9500000002"/>
    <n v="320438.10093080398"/>
    <n v="4.1613176059789616"/>
    <s v="FF"/>
    <m/>
  </r>
  <r>
    <x v="5"/>
    <s v="7000471"/>
    <s v="PIP 01 9372 040 VERD  "/>
    <n v="1900"/>
    <n v="0"/>
    <n v="0"/>
    <n v="0"/>
    <n v="0"/>
    <n v="0"/>
    <n v="0"/>
    <n v="0"/>
    <n v="0"/>
    <n v="0"/>
    <n v="0"/>
    <n v="14794"/>
    <n v="18.64"/>
    <n v="3.0829451167406345"/>
    <n v="275742.7"/>
    <n v="45606.202276924771"/>
    <n v="30646"/>
    <n v="18.64"/>
    <n v="3.1646724759232772"/>
    <n v="571205.28"/>
    <n v="96978.413504187178"/>
    <n v="15407"/>
    <n v="18.64"/>
    <n v="3.2035252526814921"/>
    <n v="287168.3"/>
    <n v="49353.589099764722"/>
    <n v="12201"/>
    <n v="18.64"/>
    <n v="3.1588503734309237"/>
    <n v="227412.24"/>
    <n v="38538.693092637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048"/>
    <n v="1361528.52"/>
    <n v="230476.89797351413"/>
    <n v="3.1551431657747528"/>
    <s v="FF"/>
    <m/>
  </r>
  <r>
    <x v="5"/>
    <s v="7000473"/>
    <s v="PIP 02 9374 040 VERD  "/>
    <n v="1900"/>
    <n v="0"/>
    <n v="0"/>
    <n v="0"/>
    <n v="0"/>
    <n v="0"/>
    <n v="0"/>
    <n v="0"/>
    <n v="0"/>
    <n v="0"/>
    <n v="0"/>
    <n v="15704"/>
    <n v="16.25"/>
    <n v="2.6876533340684179"/>
    <n v="255250.93"/>
    <n v="42216.985417757802"/>
    <n v="16069"/>
    <n v="16.25"/>
    <n v="2.7589017024545739"/>
    <n v="261183.6"/>
    <n v="44343.377150351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73"/>
    <n v="516434.53"/>
    <n v="86560.362568109456"/>
    <n v="2.724337096531944"/>
    <s v="FF"/>
    <m/>
  </r>
  <r>
    <x v="5"/>
    <s v="7000476"/>
    <s v="PIP 07 9377 040 VERD  "/>
    <n v="1900"/>
    <n v="0"/>
    <n v="0"/>
    <n v="0"/>
    <n v="0"/>
    <n v="0"/>
    <n v="0"/>
    <n v="0"/>
    <n v="0"/>
    <n v="0"/>
    <n v="0"/>
    <n v="12744"/>
    <n v="22.08"/>
    <n v="3.6519006533065022"/>
    <n v="281352.98"/>
    <n v="46534.109215205222"/>
    <n v="0"/>
    <n v="0"/>
    <n v="0"/>
    <n v="0"/>
    <n v="0"/>
    <n v="0"/>
    <n v="0"/>
    <n v="0"/>
    <n v="0"/>
    <n v="0"/>
    <n v="12000"/>
    <n v="22.08"/>
    <n v="3.7418141762529395"/>
    <n v="264927.48"/>
    <n v="44896.2590735039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44"/>
    <n v="546280.46"/>
    <n v="91430.368288709171"/>
    <n v="3.6950520646908007"/>
    <s v="FF"/>
    <m/>
  </r>
  <r>
    <x v="6"/>
    <s v="7002370"/>
    <s v="PBM 02 0301 065 MUNK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08"/>
    <n v="13.01"/>
    <n v="2.235936885052908"/>
    <n v="330610.17"/>
    <n v="56819.636716111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08"/>
    <n v="330610.17"/>
    <n v="56819.636716111636"/>
    <n v="2.2362892284363838"/>
    <s v="Print"/>
    <m/>
  </r>
  <r>
    <x v="6"/>
    <s v="7002370"/>
    <s v="PBM 02 0301 065 MUNK"/>
    <n v="2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54"/>
    <n v="13.01"/>
    <n v="2.235936885052908"/>
    <n v="141232.79"/>
    <n v="24272.6829008402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54"/>
    <n v="141232.79"/>
    <n v="24272.682900840242"/>
    <n v="2.2362891930016806"/>
    <s v="Print"/>
    <m/>
  </r>
  <r>
    <x v="7"/>
    <s v="7000469"/>
    <s v="PIP 01 9370 070 MUNK PO NEW WHITE "/>
    <n v="1880"/>
    <n v="0"/>
    <n v="0"/>
    <n v="0"/>
    <n v="0"/>
    <n v="0"/>
    <n v="0"/>
    <n v="0"/>
    <n v="0"/>
    <n v="0"/>
    <n v="0"/>
    <n v="38638"/>
    <n v="16.09"/>
    <n v="2.6611902858560517"/>
    <n v="621616.34000000008"/>
    <n v="102811.64484384046"/>
    <n v="95470"/>
    <n v="15.62"/>
    <n v="2.6519412056824887"/>
    <n v="1491347.94"/>
    <n v="253198.91511496133"/>
    <n v="48397"/>
    <n v="15.06"/>
    <n v="2.588255917670776"/>
    <n v="729092.67"/>
    <n v="125304.01179667241"/>
    <n v="24241"/>
    <n v="15.501769728971578"/>
    <n v="2.6270263464164194"/>
    <n v="375778.4"/>
    <n v="63681.7456634804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746"/>
    <n v="3217835.35"/>
    <n v="544996.31741895457"/>
    <n v="2.6360670456451616"/>
    <s v="FF"/>
    <m/>
  </r>
  <r>
    <x v="7"/>
    <s v="10.255"/>
    <s v="MUNKSJO 9370-070 PO MFOIL WHITE 70G/M² 1880MM (FSC MC)"/>
    <s v="1880"/>
    <n v="46994"/>
    <n v="20.444538000000001"/>
    <n v="3.2574280204000003"/>
    <n v="960770.61877199984"/>
    <n v="153079.57238859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994"/>
    <n v="960770.61877199984"/>
    <n v="153079.57238859232"/>
    <n v="3.2574280203556265"/>
    <s v="FF"/>
    <m/>
  </r>
  <r>
    <x v="7"/>
    <s v="7000466"/>
    <s v="PIP 01 9370 070 MUNK PO MFOIL "/>
    <n v="1880"/>
    <n v="0"/>
    <n v="0"/>
    <n v="0"/>
    <n v="0"/>
    <n v="0"/>
    <n v="0"/>
    <n v="0"/>
    <n v="0"/>
    <n v="0"/>
    <n v="0"/>
    <n v="9768"/>
    <n v="17.78"/>
    <n v="2.9407062325991675"/>
    <n v="173691.72"/>
    <n v="28727.5772528048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68"/>
    <n v="173691.72"/>
    <n v="28727.577252804804"/>
    <n v="2.9409886622445542"/>
    <s v="FF"/>
    <m/>
  </r>
  <r>
    <x v="7"/>
    <s v="7002366"/>
    <s v="DPU 07 0080 080 MUNK  "/>
    <n v="1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8"/>
    <n v="16.37"/>
    <n v="2.7741620500570936"/>
    <n v="13390.09"/>
    <n v="2269.16796120030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8"/>
    <n v="13390.09"/>
    <n v="2269.1679612003045"/>
    <n v="2.7740439623475606"/>
    <s v="IP"/>
    <s v="uni"/>
  </r>
  <r>
    <x v="8"/>
    <s v="17.425"/>
    <s v="MUNKSJÖ 1410 ECO BROWN 68G/M2 1860MM (FSC MC)"/>
    <s v="1860"/>
    <n v="24709"/>
    <n v="13.297212999999999"/>
    <n v="2.1186448046999997"/>
    <n v="328560.83601700002"/>
    <n v="52349.59448011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09"/>
    <n v="328560.83601700002"/>
    <n v="52349.59448011229"/>
    <n v="2.1186448047315669"/>
    <s v="Print"/>
    <m/>
  </r>
  <r>
    <x v="8"/>
    <s v="7000452"/>
    <s v="PBM 02 1410 068 MUNK  "/>
    <n v="1860"/>
    <n v="0"/>
    <n v="0"/>
    <n v="0"/>
    <n v="0"/>
    <n v="0"/>
    <n v="0"/>
    <n v="0"/>
    <n v="0"/>
    <n v="0"/>
    <n v="0"/>
    <n v="49744"/>
    <n v="10.83"/>
    <n v="1.791217575874521"/>
    <n v="538542.38"/>
    <n v="89071.706039639437"/>
    <n v="48774"/>
    <n v="10.55"/>
    <n v="1.7911638745166618"/>
    <n v="514429.95999999996"/>
    <n v="87339.181073085434"/>
    <n v="0"/>
    <n v="0"/>
    <n v="0"/>
    <n v="0"/>
    <n v="0"/>
    <n v="73837"/>
    <n v="10.647995449435919"/>
    <n v="1.8044755580333385"/>
    <n v="786216.04"/>
    <n v="133237.06177850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355"/>
    <n v="1839188.38"/>
    <n v="309647.94889123249"/>
    <n v="1.796570734189507"/>
    <s v="Print"/>
    <m/>
  </r>
  <r>
    <x v="8"/>
    <s v="7000454"/>
    <s v="PBM 03 1430 068 MUNK  "/>
    <n v="1870"/>
    <n v="0"/>
    <n v="0"/>
    <n v="0"/>
    <n v="0"/>
    <n v="0"/>
    <n v="0"/>
    <n v="0"/>
    <n v="0"/>
    <n v="0"/>
    <n v="0"/>
    <n v="24477"/>
    <n v="11.03"/>
    <n v="1.8242963861399784"/>
    <n v="270090.96999999997"/>
    <n v="44671.439755216794"/>
    <n v="0"/>
    <n v="0"/>
    <n v="0"/>
    <n v="0"/>
    <n v="0"/>
    <n v="0"/>
    <n v="0"/>
    <n v="0"/>
    <n v="0"/>
    <n v="0"/>
    <n v="25088"/>
    <n v="10.87"/>
    <n v="1.84209783042887"/>
    <n v="272816.95"/>
    <n v="46233.257746018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65"/>
    <n v="542907.91999999993"/>
    <n v="90904.697501235336"/>
    <n v="1.834050186648549"/>
    <s v="Print"/>
    <m/>
  </r>
  <r>
    <x v="9"/>
    <s v="15.432"/>
    <s v="DEKORPRINT BEIGE 752 68G/M2 1870MM  TYPE2638 (FSC MC)"/>
    <s v="1870"/>
    <n v="25502"/>
    <n v="17.509916999999998"/>
    <n v="2.7898548878999998"/>
    <n v="446537.90333399997"/>
    <n v="71146.8793509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2"/>
    <n v="446537.90333399997"/>
    <n v="71146.8793509065"/>
    <n v="2.7898548878874796"/>
    <s v="IP"/>
    <s v="uni"/>
  </r>
  <r>
    <x v="9"/>
    <s v="16.004"/>
    <s v="DEKORPEL BEIGE 9080 80G/M2 1855MM  (FSC MC)"/>
    <s v="1855"/>
    <n v="4352"/>
    <n v="18.358611000000003"/>
    <n v="2.9250772938000003"/>
    <n v="79896.675071999998"/>
    <n v="12729.9363826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52"/>
    <n v="79896.675071999998"/>
    <n v="12729.9363826554"/>
    <n v="2.9250772938086858"/>
    <s v="IP"/>
    <s v="uni"/>
  </r>
  <r>
    <x v="9"/>
    <s v="16.064"/>
    <s v="DEKORPRINT WHITE 990 70G/M2 1870MM (FSC MC)"/>
    <s v="1870"/>
    <n v="0"/>
    <n v="0"/>
    <n v="0"/>
    <n v="0"/>
    <n v="0"/>
    <n v="63281"/>
    <n v="14.109731999999999"/>
    <n v="2.2937143996999998"/>
    <n v="892877.9506920001"/>
    <n v="145148.54092927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281"/>
    <n v="892877.9506920001"/>
    <n v="145148.5409292749"/>
    <n v="2.2937143997293798"/>
    <s v="Print"/>
    <m/>
  </r>
  <r>
    <x v="9"/>
    <s v="16.068"/>
    <s v="DEKORPEL WHITE 963 78G/M2 1855MM  (FSC MC)"/>
    <s v="1855"/>
    <n v="47661"/>
    <n v="14.004961"/>
    <n v="2.231410286"/>
    <n v="667490.44622099993"/>
    <n v="106351.24564027642"/>
    <n v="88689"/>
    <n v="14.098052999999998"/>
    <n v="2.2918158314000006"/>
    <n v="1250342.222517"/>
    <n v="203258.854270008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350"/>
    <n v="1917832.6687380001"/>
    <n v="309610.09991028509"/>
    <n v="2.2707011361223697"/>
    <s v="IP"/>
    <s v="white"/>
  </r>
  <r>
    <x v="9"/>
    <s v="7000403"/>
    <s v="DPU 01 0104 070 MUNK  (990)"/>
    <n v="1870"/>
    <n v="0"/>
    <n v="0"/>
    <n v="0"/>
    <n v="0"/>
    <n v="0"/>
    <n v="0"/>
    <n v="0"/>
    <n v="0"/>
    <n v="0"/>
    <n v="0"/>
    <n v="32445"/>
    <n v="17.41"/>
    <n v="2.879510433608071"/>
    <n v="564991.39"/>
    <n v="93446.214957135366"/>
    <n v="0"/>
    <n v="0"/>
    <n v="0"/>
    <n v="0"/>
    <n v="0"/>
    <n v="0"/>
    <n v="0"/>
    <n v="0"/>
    <n v="0"/>
    <n v="0"/>
    <n v="51105"/>
    <n v="18.424117209666374"/>
    <n v="3.12226553261211"/>
    <n v="941564.51"/>
    <n v="159563.380044141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550"/>
    <n v="1506555.9"/>
    <n v="253009.59500127722"/>
    <n v="3.0282417115652569"/>
    <s v="Print"/>
    <m/>
  </r>
  <r>
    <x v="9"/>
    <s v="7000403"/>
    <s v="DPU 01 0104 070 MUNK  (990)"/>
    <n v="2175"/>
    <n v="0"/>
    <n v="0"/>
    <n v="0"/>
    <n v="0"/>
    <n v="0"/>
    <n v="0"/>
    <n v="0"/>
    <n v="0"/>
    <n v="0"/>
    <n v="0"/>
    <n v="20165"/>
    <n v="17.41"/>
    <n v="2.879510433608071"/>
    <n v="351149.68"/>
    <n v="58078.06819748049"/>
    <n v="0"/>
    <n v="0"/>
    <n v="0"/>
    <n v="0"/>
    <n v="0"/>
    <n v="21078"/>
    <n v="18.420000000000002"/>
    <n v="3.1657154052785992"/>
    <n v="388343.54"/>
    <n v="66741.863578633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43"/>
    <n v="739493.22"/>
    <n v="124819.93177611381"/>
    <n v="3.0264513196448806"/>
    <s v="Print"/>
    <m/>
  </r>
  <r>
    <x v="9"/>
    <s v="7000440"/>
    <s v="PBM 02 8269 068 MUNK (756)"/>
    <n v="1270"/>
    <n v="0"/>
    <n v="0"/>
    <n v="0"/>
    <n v="0"/>
    <n v="0"/>
    <n v="0"/>
    <n v="0"/>
    <n v="0"/>
    <n v="0"/>
    <n v="0"/>
    <n v="18965"/>
    <n v="23.16"/>
    <n v="3.8305262287399726"/>
    <n v="439182.93"/>
    <n v="72638.244066488405"/>
    <n v="38354"/>
    <n v="24.5"/>
    <n v="4.159574874469973"/>
    <n v="939719.07000000007"/>
    <n v="159544.15643397102"/>
    <n v="0"/>
    <n v="0"/>
    <n v="0"/>
    <n v="0"/>
    <n v="0"/>
    <n v="10704"/>
    <n v="24.501202354260091"/>
    <n v="4.1521261913230214"/>
    <n v="262260.87"/>
    <n v="44444.358751921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23"/>
    <n v="1641162.87"/>
    <n v="276626.75925238105"/>
    <n v="4.0666650875789223"/>
    <s v="Print"/>
    <m/>
  </r>
  <r>
    <x v="9"/>
    <s v="7000448"/>
    <s v="PBM 02 2638 068 MUNK (752)"/>
    <n v="1870"/>
    <n v="0"/>
    <n v="0"/>
    <n v="0"/>
    <n v="0"/>
    <n v="0"/>
    <n v="0"/>
    <n v="0"/>
    <n v="0"/>
    <n v="0"/>
    <n v="0"/>
    <n v="25581"/>
    <n v="21.86"/>
    <n v="3.6155139620144991"/>
    <n v="559296.13"/>
    <n v="92504.252832373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81"/>
    <n v="559296.13"/>
    <n v="92504.252832373124"/>
    <n v="3.616131223657133"/>
    <s v="Print"/>
    <m/>
  </r>
  <r>
    <x v="9"/>
    <s v="7000485"/>
    <s v="DPU 02 9080 080 MUNK  "/>
    <n v="1855"/>
    <n v="0"/>
    <n v="0"/>
    <n v="0"/>
    <n v="0"/>
    <n v="0"/>
    <n v="0"/>
    <n v="0"/>
    <n v="0"/>
    <n v="0"/>
    <n v="0"/>
    <n v="5399"/>
    <n v="22.91"/>
    <n v="3.789177715908151"/>
    <n v="123717.44"/>
    <n v="20462.128621440581"/>
    <n v="0"/>
    <n v="0"/>
    <n v="0"/>
    <n v="0"/>
    <n v="0"/>
    <n v="5374"/>
    <n v="24.24"/>
    <n v="4.1659577320278629"/>
    <n v="130282.96"/>
    <n v="22390.812894532872"/>
    <n v="10624"/>
    <n v="24.24"/>
    <n v="4.1078612152342053"/>
    <n v="257559.75"/>
    <n v="43647.677707525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97"/>
    <n v="511560.15"/>
    <n v="86500.619223498943"/>
    <n v="4.0426517373229398"/>
    <s v="IP"/>
    <s v="uni"/>
  </r>
  <r>
    <x v="9"/>
    <s v="7000448"/>
    <s v="PBM 02 2638 068 MUNK (752)"/>
    <n v="1270"/>
    <n v="0"/>
    <n v="0"/>
    <n v="0"/>
    <n v="0"/>
    <n v="0"/>
    <n v="0"/>
    <n v="0"/>
    <n v="0"/>
    <n v="0"/>
    <n v="0"/>
    <n v="0"/>
    <n v="0"/>
    <n v="0"/>
    <n v="0"/>
    <n v="0"/>
    <n v="25815"/>
    <n v="23.13"/>
    <n v="3.9269782386322638"/>
    <n v="597152.73"/>
    <n v="101383.734364455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15"/>
    <n v="597152.73"/>
    <n v="101383.73436445516"/>
    <n v="3.9273187822760085"/>
    <s v="Print"/>
    <m/>
  </r>
  <r>
    <x v="9"/>
    <s v="7000479"/>
    <s v="DPU 01 0104 078 MUNK  (963)"/>
    <n v="1855"/>
    <n v="0"/>
    <n v="0"/>
    <n v="0"/>
    <n v="0"/>
    <n v="0"/>
    <n v="0"/>
    <n v="0"/>
    <n v="0"/>
    <n v="0"/>
    <n v="0"/>
    <n v="0"/>
    <n v="0"/>
    <n v="0"/>
    <n v="0"/>
    <n v="0"/>
    <n v="45690"/>
    <n v="18.420000000000002"/>
    <n v="3.1273211913362005"/>
    <n v="841797.91999999993"/>
    <n v="142919.24397604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690"/>
    <n v="841797.91999999993"/>
    <n v="142919.24397604424"/>
    <n v="3.1280202227192873"/>
    <s v="IP"/>
    <s v="white"/>
  </r>
  <r>
    <x v="9"/>
    <s v="7000486"/>
    <s v="DPU 08 0497 080 MUNK  "/>
    <n v="1855"/>
    <n v="0"/>
    <n v="0"/>
    <n v="0"/>
    <n v="0"/>
    <n v="0"/>
    <n v="0"/>
    <n v="0"/>
    <n v="0"/>
    <n v="0"/>
    <n v="0"/>
    <n v="0"/>
    <n v="0"/>
    <n v="0"/>
    <n v="0"/>
    <n v="0"/>
    <n v="5701"/>
    <n v="31.76"/>
    <n v="5.3921672658435238"/>
    <n v="181047.65"/>
    <n v="30738.010449870759"/>
    <n v="11561"/>
    <n v="31.76"/>
    <n v="5.4583670614358466"/>
    <n v="367144.74"/>
    <n v="63098.575428067626"/>
    <n v="5587"/>
    <n v="31.76"/>
    <n v="5.382247202798613"/>
    <n v="177427.34"/>
    <n v="30067.940945056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49"/>
    <n v="725619.73"/>
    <n v="123904.52682299502"/>
    <n v="5.4227549049409172"/>
    <s v="IP"/>
    <s v="uni"/>
  </r>
  <r>
    <x v="9"/>
    <s v="7000403"/>
    <s v="DPU 01 0104 070 MUNK  (990)"/>
    <n v="1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33"/>
    <n v="18.420000000000002"/>
    <n v="3.1657154052785992"/>
    <n v="337769.35"/>
    <n v="58050.0344585200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33"/>
    <n v="337769.35"/>
    <n v="58050.034458520022"/>
    <n v="3.1664230872481332"/>
    <s v="Print"/>
    <m/>
  </r>
  <r>
    <x v="9"/>
    <s v="7000491"/>
    <s v="MIS 02 Backing 060 MUNK "/>
    <n v="2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23"/>
    <n v="14.15"/>
    <n v="2.4318606397769909"/>
    <n v="284750.28000000003"/>
    <n v="48938.021066959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23"/>
    <n v="284750.28000000003"/>
    <n v="48938.021066959533"/>
    <n v="2.4319445940942965"/>
    <s v="IP"/>
    <s v="back"/>
  </r>
  <r>
    <x v="10"/>
    <s v="7000459"/>
    <s v="DPU 01 0104 070 SUNS  "/>
    <n v="1870"/>
    <n v="0"/>
    <n v="0"/>
    <n v="0"/>
    <n v="0"/>
    <n v="0"/>
    <n v="0"/>
    <n v="0"/>
    <n v="0"/>
    <n v="0"/>
    <n v="0"/>
    <n v="102917"/>
    <n v="11.32"/>
    <n v="1.8722606610248917"/>
    <n v="1165496.43"/>
    <n v="192766.17636519004"/>
    <n v="51562"/>
    <n v="11.19"/>
    <n v="1.8998221569517957"/>
    <n v="577213.91"/>
    <n v="97998.550091043769"/>
    <n v="102506"/>
    <n v="11.12"/>
    <n v="1.911115923273508"/>
    <n v="1140000.49"/>
    <n v="195923.83893692459"/>
    <n v="101726"/>
    <n v="11.367694198140102"/>
    <n v="1.9264401857748608"/>
    <n v="1156390.06"/>
    <n v="195969.05433813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711"/>
    <n v="4039100.89"/>
    <n v="682657.6197312919"/>
    <n v="1.903085268450903"/>
    <s v="Print"/>
    <m/>
  </r>
  <r>
    <x v="10"/>
    <s v="7000481"/>
    <s v="DPU 01 0104 080 SUNS  "/>
    <n v="1855"/>
    <n v="0"/>
    <n v="0"/>
    <n v="0"/>
    <n v="0"/>
    <n v="0"/>
    <n v="0"/>
    <n v="0"/>
    <n v="0"/>
    <n v="0"/>
    <n v="0"/>
    <n v="374939"/>
    <n v="11.509999999999998"/>
    <n v="1.9036855307770759"/>
    <n v="4318251.1300000008"/>
    <n v="714213.04903933627"/>
    <n v="149497"/>
    <n v="10.87"/>
    <n v="1.8454930157342286"/>
    <n v="1625501.06"/>
    <n v="275975.23949389014"/>
    <n v="298861"/>
    <n v="11.03"/>
    <n v="1.8956482584268699"/>
    <n v="3296916.5"/>
    <n v="566617.77165945701"/>
    <n v="73426"/>
    <n v="11.203530084711138"/>
    <n v="1.8986199137250197"/>
    <n v="822630.40000000002"/>
    <n v="139408.0657851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6723"/>
    <n v="10063299.090000002"/>
    <n v="1696214.1259778566"/>
    <n v="1.8915697779334941"/>
    <s v="IP"/>
    <s v="white"/>
  </r>
  <r>
    <x v="10"/>
    <s v="7000481"/>
    <s v="DPU 01 0104 080 SUNS  "/>
    <n v="1860"/>
    <n v="0"/>
    <n v="0"/>
    <n v="0"/>
    <n v="0"/>
    <n v="0"/>
    <n v="0"/>
    <n v="0"/>
    <n v="0"/>
    <n v="0"/>
    <n v="0"/>
    <n v="0"/>
    <n v="0"/>
    <n v="0"/>
    <n v="0"/>
    <n v="0"/>
    <n v="49739"/>
    <n v="11.22"/>
    <n v="1.9049155139409428"/>
    <n v="557847.25"/>
    <n v="94710.506322129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739"/>
    <n v="557847.25"/>
    <n v="94710.506322129368"/>
    <n v="1.9041497883377101"/>
    <s v="Print"/>
    <m/>
  </r>
  <r>
    <x v="10"/>
    <s v="18.402"/>
    <s v="SUNSHINE 0104 ECO 70G/M2 1870MM (FSC MC)"/>
    <s v="1870"/>
    <n v="50606"/>
    <n v="14.463658000000001"/>
    <n v="2.3044944741000002"/>
    <n v="731947.87674800004"/>
    <n v="116621.24735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606"/>
    <n v="731947.87674800004"/>
    <n v="116621.2473551"/>
    <n v="2.3044944740761966"/>
    <s v="Print"/>
    <m/>
  </r>
  <r>
    <x v="10"/>
    <s v="18.403"/>
    <s v="SUNSHINE 0104 ECO 80G/M2 1860MM (FSC MC)"/>
    <s v="1860"/>
    <n v="0"/>
    <n v="0"/>
    <n v="0"/>
    <n v="0"/>
    <n v="0"/>
    <n v="48907"/>
    <n v="13.877686000000001"/>
    <n v="2.2559924039000001"/>
    <n v="678715.98920199997"/>
    <n v="110333.820497738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907"/>
    <n v="678715.98920199997"/>
    <n v="110333.82049773852"/>
    <n v="2.2559924039041142"/>
    <s v="IP"/>
    <s v="white"/>
  </r>
  <r>
    <x v="10"/>
    <s v="18.415"/>
    <s v="SUNSHINE 0104 ECO 80G/M2 1855MM (FSC MC)"/>
    <s v="1855"/>
    <n v="0"/>
    <n v="0"/>
    <n v="0"/>
    <n v="0"/>
    <n v="0"/>
    <n v="122693"/>
    <n v="14.208520000000002"/>
    <n v="2.3097736316000002"/>
    <n v="1743285.9443599998"/>
    <n v="283393.0561845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693"/>
    <n v="1743285.9443599998"/>
    <n v="283393.0561845089"/>
    <n v="2.3097736316212734"/>
    <s v="IP"/>
    <s v="white"/>
  </r>
  <r>
    <x v="10"/>
    <s v="7002371"/>
    <s v="PBM 02 0244 065 SUNS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15"/>
    <n v="12.13"/>
    <n v="2.0846974954413358"/>
    <n v="304533.69"/>
    <n v="52338.056126999843"/>
    <n v="24824"/>
    <n v="12.37"/>
    <n v="2.0962971630547491"/>
    <n v="306993.69"/>
    <n v="52025.060745570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39"/>
    <n v="611527.38"/>
    <n v="104363.11687257051"/>
    <n v="2.0898119079791448"/>
    <s v="Print"/>
    <m/>
  </r>
  <r>
    <x v="10"/>
    <s v="7002384"/>
    <s v="PBM 01 0128 065 SUNS K 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88"/>
    <n v="10.678949974997114"/>
    <n v="1.8097213045262761"/>
    <n v="1110482.6499999999"/>
    <n v="188189.2990150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88"/>
    <n v="1110482.6499999999"/>
    <n v="188189.2990150784"/>
    <n v="1.8097213045262761"/>
    <s v="Print"/>
    <m/>
  </r>
  <r>
    <x v="10"/>
    <s v="7004975"/>
    <s v="PBM 05 0247 070 SUNS (DBL7011PB) 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7"/>
    <n v="5.76"/>
    <n v="0.97612543728337553"/>
    <n v="11221.87"/>
    <n v="1901.727909876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7"/>
    <n v="11221.87"/>
    <n v="1901.727909876249"/>
    <n v="0.97674777086607545"/>
    <s v="Print"/>
    <m/>
  </r>
  <r>
    <x v="11"/>
    <s v="17.024"/>
    <s v="TECHNOCELL DEKOR MPK6656 68g/m2 1870mm  0399"/>
    <s v="1870"/>
    <n v="44151"/>
    <n v="20.253419000000001"/>
    <n v="3.2269770320999998"/>
    <n v="894208.70226899977"/>
    <n v="142474.26294577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51"/>
    <n v="894208.70226899977"/>
    <n v="142474.26294577471"/>
    <n v="3.2269770321345996"/>
    <s v="Print"/>
    <m/>
  </r>
  <r>
    <x v="11"/>
    <s v="17.051"/>
    <s v="TECHNOCELL DEKOR MPK6552F 71G/M2 1870MM  EIR (FSC MC)"/>
    <s v="1870"/>
    <n v="23371"/>
    <n v="18.791924000000002"/>
    <n v="2.9941170494999994"/>
    <n v="439186.05580400006"/>
    <n v="69975.50956277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71"/>
    <n v="439186.05580400006"/>
    <n v="69975.50956277021"/>
    <n v="2.9941170494531772"/>
    <s v="Print"/>
    <m/>
  </r>
  <r>
    <x v="11"/>
    <s v="17.059"/>
    <s v="TECHNOCELL BROWN MPK6287 (2795) 65g/m2 1870mm (FSC MC)"/>
    <s v="1870"/>
    <n v="23074"/>
    <n v="20.033065000000001"/>
    <n v="3.191868031699999"/>
    <n v="462242.94181000011"/>
    <n v="73649.1629629150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74"/>
    <n v="462242.94181000011"/>
    <n v="73649.162962915027"/>
    <n v="3.191868031676997"/>
    <s v="Print"/>
    <m/>
  </r>
  <r>
    <x v="11"/>
    <s v="2043069"/>
    <s v="PBM 02 8269 071 TECH EIR (6552)"/>
    <n v="1870"/>
    <n v="0"/>
    <n v="0"/>
    <n v="0"/>
    <n v="0"/>
    <n v="0"/>
    <n v="0"/>
    <n v="0"/>
    <n v="0"/>
    <n v="0"/>
    <n v="0"/>
    <n v="45349"/>
    <n v="15.863333333333335"/>
    <n v="2.6237009675552003"/>
    <n v="723748.28"/>
    <n v="119703.66017035587"/>
    <n v="31655"/>
    <n v="15.134999999999998"/>
    <n v="2.5695986010246137"/>
    <n v="473681.03"/>
    <n v="80420.886159226837"/>
    <n v="0"/>
    <n v="0"/>
    <n v="0"/>
    <n v="0"/>
    <n v="0"/>
    <n v="23079"/>
    <n v="15.77"/>
    <n v="2.6724823170067418"/>
    <n v="363999.4"/>
    <n v="61685.603037480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83"/>
    <n v="1561428.71"/>
    <n v="261810.14936706296"/>
    <n v="2.6159302715452468"/>
    <s v="Print"/>
    <m/>
  </r>
  <r>
    <x v="11"/>
    <s v="7000444"/>
    <s v="PBM 02 0399 068 TECH"/>
    <n v="1870"/>
    <n v="0"/>
    <n v="0"/>
    <n v="0"/>
    <n v="0"/>
    <n v="0"/>
    <n v="0"/>
    <n v="0"/>
    <n v="0"/>
    <n v="0"/>
    <n v="0"/>
    <n v="22741"/>
    <n v="17"/>
    <n v="2.8116988725638832"/>
    <n v="386493.35"/>
    <n v="63923.700967555189"/>
    <n v="33874"/>
    <n v="16.72"/>
    <n v="2.8386976286178753"/>
    <n v="562748.82000000007"/>
    <n v="95542.68784937248"/>
    <n v="45359"/>
    <n v="16.524999999999999"/>
    <n v="2.8400351287854964"/>
    <n v="749512.15999999992"/>
    <n v="128813.36543733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974"/>
    <n v="1698754.33"/>
    <n v="288279.7542542587"/>
    <n v="2.8269927065159619"/>
    <s v="Print"/>
    <m/>
  </r>
  <r>
    <x v="11"/>
    <s v="7000462"/>
    <s v="PBM 03 2795 065 TECH  (6287)"/>
    <n v="1870"/>
    <n v="0"/>
    <n v="0"/>
    <n v="0"/>
    <n v="0"/>
    <n v="0"/>
    <n v="0"/>
    <n v="0"/>
    <n v="0"/>
    <n v="0"/>
    <n v="0"/>
    <n v="21553"/>
    <n v="17.12"/>
    <n v="2.8315461587231581"/>
    <n v="368909.9"/>
    <n v="61015.502935744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53"/>
    <n v="368909.9"/>
    <n v="61015.502935744407"/>
    <n v="2.8309517438753029"/>
    <s v="Print"/>
    <m/>
  </r>
  <r>
    <x v="11"/>
    <s v="7004320"/>
    <s v="PBM 05 0380 70 TECH"/>
    <n v="1870"/>
    <n v="0"/>
    <n v="0"/>
    <n v="0"/>
    <n v="0"/>
    <n v="0"/>
    <n v="0"/>
    <n v="0"/>
    <n v="0"/>
    <n v="0"/>
    <n v="0"/>
    <n v="30039"/>
    <n v="15.675000000000001"/>
    <n v="2.5925517545552279"/>
    <n v="470919.06"/>
    <n v="77887.211180637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39"/>
    <n v="470919.06"/>
    <n v="77887.211180637867"/>
    <n v="2.5928696421531297"/>
    <s v="Print"/>
    <m/>
  </r>
  <r>
    <x v="11"/>
    <s v="7002365"/>
    <s v="DPU 07 0080 080 TECH  (8222)"/>
    <n v="1840"/>
    <n v="0"/>
    <n v="0"/>
    <n v="0"/>
    <n v="0"/>
    <n v="0"/>
    <n v="0"/>
    <n v="0"/>
    <n v="0"/>
    <n v="0"/>
    <n v="0"/>
    <n v="0"/>
    <n v="0"/>
    <n v="0"/>
    <n v="0"/>
    <n v="0"/>
    <n v="3037"/>
    <n v="16.48"/>
    <n v="2.7979507727046999"/>
    <n v="50053.47"/>
    <n v="8498.0063751851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7"/>
    <n v="50053.47"/>
    <n v="8498.0063751851649"/>
    <n v="2.7981581742460206"/>
    <s v="IP"/>
    <s v="uni"/>
  </r>
  <r>
    <x v="12"/>
    <s v="7004777"/>
    <s v="PBM 01 0128 65 ULTRA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58"/>
    <n v="14.96"/>
    <n v="2.5352146773887672"/>
    <n v="330042.83"/>
    <n v="55931.111415970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58"/>
    <n v="330042.83"/>
    <n v="55931.111415970976"/>
    <n v="2.5356383813569217"/>
    <s v="Print"/>
    <m/>
  </r>
  <r>
    <x v="12"/>
    <s v="7004937"/>
    <s v="PBM 01 0127 070 ULTRA  "/>
    <n v="18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5"/>
    <n v="13.54"/>
    <n v="2.2945726425029349"/>
    <n v="37025.06"/>
    <n v="6274.4970282887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5"/>
    <n v="37025.06"/>
    <n v="6274.4970282887525"/>
    <n v="2.2941488220434194"/>
    <s v="Prin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4D5FD-5B55-4862-92ED-B75C392CBC65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0" firstDataRow="1" firstDataCol="1"/>
  <pivotFields count="70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dataField="1" numFmtId="4" showAll="0"/>
    <pivotField dataField="1" numFmtId="4" showAll="0"/>
    <pivotField numFmtId="167"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Kg13" fld="64" baseField="0" baseItem="0" numFmtId="4"/>
    <dataField name="Soma de R$13" fld="65" baseField="0" baseItem="0" numFmtId="4"/>
    <dataField name="Soma de EUR13" fld="6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02A4D-6D88-4E1C-BB8B-F4DE3CE660FE}" name="Tabela2" displayName="Tabela2" ref="A1:J271" totalsRowShown="0" headerRowDxfId="11" dataDxfId="10">
  <autoFilter ref="A1:J271" xr:uid="{6767F81F-74DC-4BD1-A4CE-3B6BDD8B75CC}"/>
  <tableColumns count="10">
    <tableColumn id="1" xr3:uid="{00000000-0010-0000-0100-000001000000}" name="Plant" dataDxfId="9">
      <calculatedColumnFormula>IF(B2&lt;&gt;"","Curitiba","")</calculatedColumnFormula>
    </tableColumn>
    <tableColumn id="2" xr3:uid="{00000000-0010-0000-0100-000002000000}" name="Supplier name" dataDxfId="8"/>
    <tableColumn id="3" xr3:uid="{00000000-0010-0000-0100-000003000000}" name="Product Group " dataDxfId="7"/>
    <tableColumn id="4" xr3:uid="{00000000-0010-0000-0100-000004000000}" name="Material nr" dataDxfId="6"/>
    <tableColumn id="5" xr3:uid="{00000000-0010-0000-0100-000005000000}" name="Mat Description" dataDxfId="5"/>
    <tableColumn id="10" xr3:uid="{BEFCC5A8-EB58-4F88-BEE6-FB5D07317446}" name="Width (mm)" dataDxfId="4"/>
    <tableColumn id="6" xr3:uid="{00000000-0010-0000-0100-000006000000}" name="Quantity KG" dataDxfId="3">
      <calculatedColumnFormula array="1">_xlfn.XLOOKUP(D2&amp;F2,Reunido!B:B&amp;Reunido!D:D,Reunido!E:E,"",1)</calculatedColumnFormula>
    </tableColumn>
    <tableColumn id="7" xr3:uid="{00000000-0010-0000-0100-000007000000}" name="Value EUR" dataDxfId="2"/>
    <tableColumn id="8" xr3:uid="{00000000-0010-0000-0100-000008000000}" name="Month.Year" dataDxfId="1"/>
    <tableColumn id="9" xr3:uid="{00000000-0010-0000-0100-000009000000}" name="Material Group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8DF3-A040-4C20-BC29-3C872A593D6E}">
  <dimension ref="B2:AE34"/>
  <sheetViews>
    <sheetView workbookViewId="0">
      <selection activeCell="T31" sqref="T31"/>
    </sheetView>
  </sheetViews>
  <sheetFormatPr defaultColWidth="9.140625" defaultRowHeight="12.75" x14ac:dyDescent="0.2"/>
  <cols>
    <col min="1" max="1" width="3.42578125" style="51" customWidth="1"/>
    <col min="2" max="2" width="6.85546875" style="51" customWidth="1"/>
    <col min="3" max="3" width="9.140625" style="51"/>
    <col min="4" max="4" width="10.5703125" style="51" bestFit="1" customWidth="1"/>
    <col min="5" max="7" width="9.140625" style="51"/>
    <col min="8" max="8" width="9" style="51" customWidth="1"/>
    <col min="9" max="9" width="8.85546875" style="51" bestFit="1" customWidth="1"/>
    <col min="10" max="10" width="9.140625" style="51"/>
    <col min="11" max="11" width="10.5703125" style="51" bestFit="1" customWidth="1"/>
    <col min="12" max="12" width="10" style="51" bestFit="1" customWidth="1"/>
    <col min="13" max="13" width="11.5703125" style="51" bestFit="1" customWidth="1"/>
    <col min="14" max="14" width="10.85546875" style="51" bestFit="1" customWidth="1"/>
    <col min="15" max="15" width="11.5703125" style="51" customWidth="1"/>
    <col min="16" max="16" width="3.5703125" style="51" customWidth="1"/>
    <col min="17" max="17" width="9.140625" style="51"/>
    <col min="18" max="19" width="10.85546875" style="51" bestFit="1" customWidth="1"/>
    <col min="20" max="25" width="10.140625" style="51" bestFit="1" customWidth="1"/>
    <col min="26" max="26" width="10.5703125" style="51" bestFit="1" customWidth="1"/>
    <col min="27" max="27" width="10.140625" style="51" bestFit="1" customWidth="1"/>
    <col min="28" max="28" width="11.5703125" style="51" bestFit="1" customWidth="1"/>
    <col min="29" max="29" width="11" style="51" customWidth="1"/>
    <col min="30" max="30" width="11" style="51" hidden="1" customWidth="1"/>
    <col min="31" max="31" width="11.140625" style="51" bestFit="1" customWidth="1"/>
    <col min="32" max="16384" width="9.140625" style="51"/>
  </cols>
  <sheetData>
    <row r="2" spans="2:31" ht="15" x14ac:dyDescent="0.25">
      <c r="B2" s="70" t="s">
        <v>116</v>
      </c>
      <c r="C2" s="49">
        <v>46023</v>
      </c>
      <c r="D2" s="49">
        <v>46054</v>
      </c>
      <c r="E2" s="49">
        <v>46082</v>
      </c>
      <c r="F2" s="49">
        <v>46113</v>
      </c>
      <c r="G2" s="49">
        <v>46143</v>
      </c>
      <c r="H2" s="49">
        <v>46174</v>
      </c>
      <c r="I2" s="49">
        <v>46204</v>
      </c>
      <c r="J2" s="49">
        <v>46235</v>
      </c>
      <c r="K2" s="49">
        <v>46266</v>
      </c>
      <c r="L2" s="49">
        <v>46296</v>
      </c>
      <c r="M2" s="49">
        <v>46327</v>
      </c>
      <c r="N2" s="49">
        <v>46357</v>
      </c>
      <c r="O2" s="50" t="s">
        <v>1</v>
      </c>
      <c r="Q2" s="70" t="s">
        <v>116</v>
      </c>
      <c r="R2" s="49">
        <v>46023</v>
      </c>
      <c r="S2" s="49">
        <v>46054</v>
      </c>
      <c r="T2" s="49">
        <v>46082</v>
      </c>
      <c r="U2" s="49">
        <v>46113</v>
      </c>
      <c r="V2" s="49">
        <v>46143</v>
      </c>
      <c r="W2" s="49">
        <v>46174</v>
      </c>
      <c r="X2" s="49">
        <v>46204</v>
      </c>
      <c r="Y2" s="49">
        <v>46235</v>
      </c>
      <c r="Z2" s="49">
        <v>46266</v>
      </c>
      <c r="AA2" s="49">
        <v>46296</v>
      </c>
      <c r="AB2" s="49">
        <v>46327</v>
      </c>
      <c r="AC2" s="49">
        <v>46357</v>
      </c>
      <c r="AD2" s="49">
        <v>46023</v>
      </c>
      <c r="AE2" s="50" t="s">
        <v>1</v>
      </c>
    </row>
    <row r="3" spans="2:31" ht="15" x14ac:dyDescent="0.25">
      <c r="B3" s="70" t="s">
        <v>108</v>
      </c>
      <c r="C3" s="52">
        <v>0</v>
      </c>
      <c r="D3" s="52">
        <v>0</v>
      </c>
      <c r="E3" s="52">
        <v>0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3">
        <f>SUM(C3:N3)</f>
        <v>0</v>
      </c>
      <c r="Q3" s="70" t="s">
        <v>108</v>
      </c>
      <c r="R3" s="52">
        <v>0</v>
      </c>
      <c r="S3" s="52">
        <v>0</v>
      </c>
      <c r="T3" s="52">
        <v>0</v>
      </c>
      <c r="U3" s="52">
        <v>0</v>
      </c>
      <c r="V3" s="52">
        <v>0</v>
      </c>
      <c r="W3" s="52">
        <v>0</v>
      </c>
      <c r="X3" s="52">
        <v>0</v>
      </c>
      <c r="Y3" s="52">
        <v>0</v>
      </c>
      <c r="Z3" s="52">
        <v>0</v>
      </c>
      <c r="AA3" s="52">
        <v>0</v>
      </c>
      <c r="AB3" s="52">
        <v>0</v>
      </c>
      <c r="AC3" s="52">
        <v>0</v>
      </c>
      <c r="AD3" s="52"/>
      <c r="AE3" s="53">
        <f>SUM(R3:AC3)</f>
        <v>0</v>
      </c>
    </row>
    <row r="4" spans="2:31" ht="9.9499999999999993" customHeight="1" x14ac:dyDescent="0.2">
      <c r="C4" s="54"/>
      <c r="R4" s="54"/>
    </row>
    <row r="5" spans="2:31" ht="9.9499999999999993" customHeight="1" x14ac:dyDescent="0.2"/>
    <row r="6" spans="2:31" ht="15" x14ac:dyDescent="0.25">
      <c r="B6" s="70" t="s">
        <v>116</v>
      </c>
      <c r="C6" s="49">
        <v>46023</v>
      </c>
      <c r="D6" s="49">
        <v>46054</v>
      </c>
      <c r="E6" s="49">
        <v>46082</v>
      </c>
      <c r="F6" s="49">
        <v>46113</v>
      </c>
      <c r="G6" s="49">
        <v>46143</v>
      </c>
      <c r="H6" s="49">
        <v>46174</v>
      </c>
      <c r="I6" s="49">
        <v>46204</v>
      </c>
      <c r="J6" s="49">
        <v>46235</v>
      </c>
      <c r="K6" s="49">
        <v>46266</v>
      </c>
      <c r="L6" s="49">
        <v>46296</v>
      </c>
      <c r="M6" s="49">
        <v>46327</v>
      </c>
      <c r="N6" s="49">
        <v>46357</v>
      </c>
      <c r="O6" s="50" t="s">
        <v>1</v>
      </c>
      <c r="Q6" s="70" t="s">
        <v>116</v>
      </c>
      <c r="R6" s="49">
        <v>46023</v>
      </c>
      <c r="S6" s="49">
        <v>46054</v>
      </c>
      <c r="T6" s="49">
        <v>46082</v>
      </c>
      <c r="U6" s="49">
        <v>46113</v>
      </c>
      <c r="V6" s="49">
        <v>46143</v>
      </c>
      <c r="W6" s="49">
        <v>46174</v>
      </c>
      <c r="X6" s="49">
        <v>46204</v>
      </c>
      <c r="Y6" s="49">
        <v>46235</v>
      </c>
      <c r="Z6" s="49">
        <v>46266</v>
      </c>
      <c r="AA6" s="49">
        <v>46296</v>
      </c>
      <c r="AB6" s="49">
        <v>46327</v>
      </c>
      <c r="AC6" s="49">
        <v>46357</v>
      </c>
      <c r="AD6" s="49">
        <v>46023</v>
      </c>
      <c r="AE6" s="50" t="s">
        <v>1</v>
      </c>
    </row>
    <row r="7" spans="2:31" ht="15" x14ac:dyDescent="0.25">
      <c r="B7" s="70" t="s">
        <v>107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3">
        <f>SUM(C7:N7)</f>
        <v>0</v>
      </c>
      <c r="Q7" s="70" t="s">
        <v>107</v>
      </c>
      <c r="R7" s="52">
        <f t="shared" ref="R7:AC7" si="0">C7/0.06</f>
        <v>0</v>
      </c>
      <c r="S7" s="52">
        <f t="shared" si="0"/>
        <v>0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52">
        <f t="shared" si="0"/>
        <v>0</v>
      </c>
      <c r="X7" s="52">
        <f t="shared" si="0"/>
        <v>0</v>
      </c>
      <c r="Y7" s="52">
        <f t="shared" si="0"/>
        <v>0</v>
      </c>
      <c r="Z7" s="52">
        <f t="shared" si="0"/>
        <v>0</v>
      </c>
      <c r="AA7" s="52">
        <f t="shared" si="0"/>
        <v>0</v>
      </c>
      <c r="AB7" s="52">
        <f t="shared" si="0"/>
        <v>0</v>
      </c>
      <c r="AC7" s="52">
        <f t="shared" si="0"/>
        <v>0</v>
      </c>
      <c r="AD7" s="52"/>
      <c r="AE7" s="53">
        <f>SUM(R7:AC7)</f>
        <v>0</v>
      </c>
    </row>
    <row r="8" spans="2:31" ht="9.9499999999999993" customHeight="1" x14ac:dyDescent="0.2">
      <c r="C8" s="54"/>
      <c r="R8" s="54"/>
    </row>
    <row r="9" spans="2:31" ht="9.9499999999999993" customHeight="1" x14ac:dyDescent="0.2"/>
    <row r="10" spans="2:31" ht="30" x14ac:dyDescent="0.25">
      <c r="B10" s="70" t="s">
        <v>117</v>
      </c>
      <c r="C10" s="49">
        <v>46023</v>
      </c>
      <c r="D10" s="49">
        <v>46054</v>
      </c>
      <c r="E10" s="49">
        <v>46082</v>
      </c>
      <c r="F10" s="49">
        <v>46113</v>
      </c>
      <c r="G10" s="49">
        <v>46143</v>
      </c>
      <c r="H10" s="49">
        <v>46174</v>
      </c>
      <c r="I10" s="49">
        <v>46204</v>
      </c>
      <c r="J10" s="49">
        <v>46235</v>
      </c>
      <c r="K10" s="49">
        <v>46266</v>
      </c>
      <c r="L10" s="49">
        <v>46296</v>
      </c>
      <c r="M10" s="49">
        <v>46327</v>
      </c>
      <c r="N10" s="49">
        <v>46357</v>
      </c>
      <c r="O10" s="50" t="s">
        <v>1</v>
      </c>
      <c r="Q10" s="70" t="s">
        <v>118</v>
      </c>
      <c r="R10" s="84">
        <v>46023</v>
      </c>
      <c r="S10" s="84">
        <v>46054</v>
      </c>
      <c r="T10" s="84">
        <v>46082</v>
      </c>
      <c r="U10" s="84">
        <v>46113</v>
      </c>
      <c r="V10" s="84">
        <v>46143</v>
      </c>
      <c r="W10" s="84">
        <v>46174</v>
      </c>
      <c r="X10" s="84">
        <v>46204</v>
      </c>
      <c r="Y10" s="84">
        <v>46235</v>
      </c>
      <c r="Z10" s="84">
        <v>46266</v>
      </c>
      <c r="AA10" s="84">
        <v>46296</v>
      </c>
      <c r="AB10" s="84">
        <v>46327</v>
      </c>
      <c r="AC10" s="84">
        <v>46357</v>
      </c>
      <c r="AD10" s="49">
        <v>46023</v>
      </c>
      <c r="AE10" s="50" t="s">
        <v>1</v>
      </c>
    </row>
    <row r="11" spans="2:31" ht="15" x14ac:dyDescent="0.25">
      <c r="B11" s="70" t="s">
        <v>108</v>
      </c>
      <c r="C11" s="52">
        <f>SUMIF(Reunido!$BQ:$BQ,$B$11,Reunido!E:E)</f>
        <v>267059</v>
      </c>
      <c r="D11" s="52">
        <f>SUMIF(Reunido!$BQ:$BQ,$B$11,Reunido!J:J)</f>
        <v>88509</v>
      </c>
      <c r="E11" s="52">
        <f>SUMIF(Reunido!$BQ:$BQ,$B$11,Reunido!O:O)</f>
        <v>584966</v>
      </c>
      <c r="F11" s="52">
        <f>SUMIF(Reunido!$BQ:$BQ,$B$11,Reunido!T:T)</f>
        <v>720393</v>
      </c>
      <c r="G11" s="52">
        <f>SUMIF(Reunido!$BQ:$BQ,$B$11,Reunido!Y:Y)</f>
        <v>373064</v>
      </c>
      <c r="H11" s="52">
        <f>SUMIF(Reunido!$BQ:$BQ,$B$11,Reunido!AD:AD)</f>
        <v>626051</v>
      </c>
      <c r="I11" s="52">
        <f>SUMIF(Reunido!$BQ:$BQ,$B$11,Reunido!AI:AI)</f>
        <v>0</v>
      </c>
      <c r="J11" s="52">
        <f>SUMIF(Reunido!$BQ:$BQ,$B$11,Reunido!AN:AN)</f>
        <v>0</v>
      </c>
      <c r="K11" s="52">
        <f>SUMIF(Reunido!$BQ:$BQ,$B$11,Reunido!AS:AS)</f>
        <v>0</v>
      </c>
      <c r="L11" s="52">
        <f>SUMIF(Reunido!$BQ:$BQ,$B$11,Reunido!AX:AX)</f>
        <v>0</v>
      </c>
      <c r="M11" s="52">
        <f>SUMIF(Reunido!$BQ:$BQ,$B$11,Reunido!BH:BH)</f>
        <v>0</v>
      </c>
      <c r="N11" s="52">
        <f>SUMIF(Reunido!$BQ:$BQ,$B$11,Reunido!BH:BH)</f>
        <v>0</v>
      </c>
      <c r="O11" s="53">
        <f>SUM(C11:N11)</f>
        <v>2660042</v>
      </c>
      <c r="Q11" s="70" t="s">
        <v>108</v>
      </c>
      <c r="R11" s="52">
        <f>C11/0.068</f>
        <v>3927338.2352941176</v>
      </c>
      <c r="S11" s="52">
        <f t="shared" ref="S11:AB11" si="1">D11/0.068</f>
        <v>1301602.9411764706</v>
      </c>
      <c r="T11" s="52">
        <f t="shared" si="1"/>
        <v>8602441.176470587</v>
      </c>
      <c r="U11" s="52">
        <f t="shared" si="1"/>
        <v>10594014.705882352</v>
      </c>
      <c r="V11" s="52">
        <f t="shared" si="1"/>
        <v>5486235.2941176463</v>
      </c>
      <c r="W11" s="52">
        <f t="shared" si="1"/>
        <v>9206632.3529411759</v>
      </c>
      <c r="X11" s="52">
        <f t="shared" si="1"/>
        <v>0</v>
      </c>
      <c r="Y11" s="52">
        <f t="shared" si="1"/>
        <v>0</v>
      </c>
      <c r="Z11" s="52">
        <f t="shared" si="1"/>
        <v>0</v>
      </c>
      <c r="AA11" s="52">
        <f t="shared" si="1"/>
        <v>0</v>
      </c>
      <c r="AB11" s="52">
        <f t="shared" si="1"/>
        <v>0</v>
      </c>
      <c r="AC11" s="52">
        <f>N11/0.068</f>
        <v>0</v>
      </c>
      <c r="AD11" s="52">
        <v>0</v>
      </c>
      <c r="AE11" s="53">
        <f>SUM(R11:AC11)</f>
        <v>39118264.705882348</v>
      </c>
    </row>
    <row r="12" spans="2:31" ht="9.9499999999999993" customHeight="1" x14ac:dyDescent="0.2"/>
    <row r="13" spans="2:31" ht="9.9499999999999993" customHeight="1" x14ac:dyDescent="0.2"/>
    <row r="14" spans="2:31" ht="30" x14ac:dyDescent="0.25">
      <c r="B14" s="70" t="s">
        <v>117</v>
      </c>
      <c r="C14" s="49">
        <v>46023</v>
      </c>
      <c r="D14" s="49">
        <v>46054</v>
      </c>
      <c r="E14" s="49">
        <v>46082</v>
      </c>
      <c r="F14" s="49">
        <v>46113</v>
      </c>
      <c r="G14" s="49">
        <v>46143</v>
      </c>
      <c r="H14" s="49">
        <v>46174</v>
      </c>
      <c r="I14" s="49">
        <v>46204</v>
      </c>
      <c r="J14" s="49">
        <v>46235</v>
      </c>
      <c r="K14" s="49">
        <v>46266</v>
      </c>
      <c r="L14" s="49">
        <v>46296</v>
      </c>
      <c r="M14" s="49">
        <v>46327</v>
      </c>
      <c r="N14" s="49">
        <v>46357</v>
      </c>
      <c r="O14" s="50" t="s">
        <v>1</v>
      </c>
      <c r="Q14" s="70" t="s">
        <v>119</v>
      </c>
      <c r="R14" s="84">
        <v>46023</v>
      </c>
      <c r="S14" s="84">
        <v>46054</v>
      </c>
      <c r="T14" s="84">
        <v>46082</v>
      </c>
      <c r="U14" s="84">
        <v>46113</v>
      </c>
      <c r="V14" s="84">
        <v>46143</v>
      </c>
      <c r="W14" s="84">
        <v>46174</v>
      </c>
      <c r="X14" s="84">
        <v>46204</v>
      </c>
      <c r="Y14" s="84">
        <v>46235</v>
      </c>
      <c r="Z14" s="84">
        <v>46266</v>
      </c>
      <c r="AA14" s="84">
        <v>46296</v>
      </c>
      <c r="AB14" s="84">
        <v>46327</v>
      </c>
      <c r="AC14" s="84">
        <v>46357</v>
      </c>
      <c r="AD14" s="49">
        <v>46023</v>
      </c>
      <c r="AE14" s="50" t="s">
        <v>1</v>
      </c>
    </row>
    <row r="15" spans="2:31" ht="15" x14ac:dyDescent="0.25">
      <c r="B15" s="70" t="s">
        <v>109</v>
      </c>
      <c r="C15" s="52">
        <f>SUMIF(Reunido!$BQ:$BQ,$B$15,Reunido!E:E)</f>
        <v>118340</v>
      </c>
      <c r="D15" s="52">
        <f>SUMIF(Reunido!$BQ:$BQ,$B$15,Reunido!J:J)</f>
        <v>45411</v>
      </c>
      <c r="E15" s="52">
        <f>SUMIF(Reunido!$BQ:$BQ,$B$15,Reunido!O:O)</f>
        <v>144702</v>
      </c>
      <c r="F15" s="52">
        <f>SUMIF(Reunido!$BQ:$BQ,$B$15,Reunido!T:T)</f>
        <v>216929</v>
      </c>
      <c r="G15" s="52">
        <f>SUMIF(Reunido!$BQ:$BQ,$B$15,Reunido!Y:Y)</f>
        <v>63804</v>
      </c>
      <c r="H15" s="52">
        <f>SUMIF(Reunido!$BQ:$BQ,$B$15,Reunido!AD:AD)</f>
        <v>98927</v>
      </c>
      <c r="I15" s="52">
        <f>SUMIF(Reunido!$BQ:$BQ,$B$15,Reunido!AI:AI)</f>
        <v>0</v>
      </c>
      <c r="J15" s="52">
        <f>SUMIF(Reunido!$BQ:$BQ,$B$15,Reunido!AN:AN)</f>
        <v>0</v>
      </c>
      <c r="K15" s="52">
        <f>SUMIF(Reunido!$BQ:$BQ,$B$15,Reunido!AS:AS)</f>
        <v>0</v>
      </c>
      <c r="L15" s="52">
        <f>SUMIF(Reunido!$BQ:$BQ,$B$15,Reunido!AX:AX)</f>
        <v>0</v>
      </c>
      <c r="M15" s="52">
        <f>SUMIF(Reunido!$BQ:$BQ,$B$15,Reunido!BC:BC)</f>
        <v>0</v>
      </c>
      <c r="N15" s="52">
        <f>SUMIF(Reunido!$BQ:$BQ,$B$15,Reunido!BH:BH)</f>
        <v>0</v>
      </c>
      <c r="O15" s="53">
        <f>SUM(C15:N15)</f>
        <v>688113</v>
      </c>
      <c r="Q15" s="70" t="s">
        <v>109</v>
      </c>
      <c r="R15" s="52">
        <f>SUMIFS('PAPER BASE'!$G:$G, 'PAPER BASE'!$B:$B, "*MLTV01*", 'PAPER BASE'!$C:$C, "Finish Foils", 'PAPER BASE'!$I:$I, R14)/ 0.04+SUMIFS('PAPER BASE'!$G:$G, 'PAPER BASE'!$B:$B, "*MUNK04*", 'PAPER BASE'!$C:$C, "Finish Foils", 'PAPER BASE'!$I:$I, R14)/ 0.07+SUMIFS('PAPER BASE'!$G:$G, 'PAPER BASE'!$B:$B, "*KING01*", 'PAPER BASE'!$C:$C, "Finish Foils", 'PAPER BASE'!$I:$I, R14)/ 0.07</f>
        <v>2454992.8571428573</v>
      </c>
      <c r="S15" s="52">
        <f>SUMIFS('PAPER BASE'!$G:$G, 'PAPER BASE'!$B:$B, "*MLTV01*", 'PAPER BASE'!$C:$C, "Finish Foils", 'PAPER BASE'!$I:$I, S14)/ 0.04+SUMIFS('PAPER BASE'!$G:$G, 'PAPER BASE'!$B:$B, "*MUNK04*", 'PAPER BASE'!$C:$C, "Finish Foils", 'PAPER BASE'!$I:$I, S14)/ 0.07+SUMIFS('PAPER BASE'!$G:$G, 'PAPER BASE'!$B:$B, "*KING01*", 'PAPER BASE'!$C:$C, "Finish Foils", 'PAPER BASE'!$I:$I, S14)/ 0.07</f>
        <v>1135275</v>
      </c>
      <c r="T15" s="52">
        <f>SUMIFS('PAPER BASE'!$G:$G, 'PAPER BASE'!$B:$B, "*MLTV01*", 'PAPER BASE'!$C:$C, "Finish Foils", 'PAPER BASE'!$I:$I, T14)/ 0.04+SUMIFS('PAPER BASE'!$G:$G, 'PAPER BASE'!$B:$B, "*MUNK04*", 'PAPER BASE'!$C:$C, "Finish Foils", 'PAPER BASE'!$I:$I, T14)/ 0.07+SUMIFS('PAPER BASE'!$G:$G, 'PAPER BASE'!$B:$B, "*KING01*", 'PAPER BASE'!$C:$C, "Finish Foils", 'PAPER BASE'!$I:$I, T14)/ 0.07</f>
        <v>3098914.2857142854</v>
      </c>
      <c r="U15" s="52">
        <f>SUMIFS('PAPER BASE'!$G:$G, 'PAPER BASE'!$B:$B, "*MLTV01*", 'PAPER BASE'!$C:$C, "Finish Foils", 'PAPER BASE'!$I:$I, U14)/ 0.04+SUMIFS('PAPER BASE'!$G:$G, 'PAPER BASE'!$B:$B, "*MUNK04*", 'PAPER BASE'!$C:$C, "Finish Foils", 'PAPER BASE'!$I:$I, U14)/ 0.07+SUMIFS('PAPER BASE'!$G:$G, 'PAPER BASE'!$B:$B, "*KING01*", 'PAPER BASE'!$C:$C, "Finish Foils", 'PAPER BASE'!$I:$I, U14)/ 0.07</f>
        <v>3856110.7142857141</v>
      </c>
      <c r="V15" s="52">
        <f>SUMIFS('PAPER BASE'!$G:$G, 'PAPER BASE'!$B:$B, "*MLTV01*", 'PAPER BASE'!$C:$C, "Finish Foils", 'PAPER BASE'!$I:$I, V14)/ 0.04+SUMIFS('PAPER BASE'!$G:$G, 'PAPER BASE'!$B:$B, "*MUNK04*", 'PAPER BASE'!$C:$C, "Finish Foils", 'PAPER BASE'!$I:$I, V14)/ 0.07+SUMIFS('PAPER BASE'!$G:$G, 'PAPER BASE'!$B:$B, "*KING01*", 'PAPER BASE'!$C:$C, "Finish Foils", 'PAPER BASE'!$I:$I, V14)/ 0.07</f>
        <v>2153121.4285714282</v>
      </c>
      <c r="W15" s="52">
        <f>SUMIFS('PAPER BASE'!$G:$G, 'PAPER BASE'!$B:$B, "*MLTV01*", 'PAPER BASE'!$C:$C, "Finish Foils", 'PAPER BASE'!$I:$I, W14)/ 0.04+SUMIFS('PAPER BASE'!$G:$G, 'PAPER BASE'!$B:$B, "*MUNK04*", 'PAPER BASE'!$C:$C, "Finish Foils", 'PAPER BASE'!$I:$I, W14)/ 0.07+SUMIFS('PAPER BASE'!$G:$G, 'PAPER BASE'!$B:$B, "*KING01*", 'PAPER BASE'!$C:$C, "Finish Foils", 'PAPER BASE'!$I:$I, W14)/ 0.07</f>
        <v>1672539.2857142857</v>
      </c>
      <c r="X15" s="52">
        <f>SUMIFS('PAPER BASE'!$G:$G, 'PAPER BASE'!$B:$B, "*MLTV01*", 'PAPER BASE'!$C:$C, "Finish Foils", 'PAPER BASE'!$I:$I, X14)/ 0.04+SUMIFS('PAPER BASE'!$G:$G, 'PAPER BASE'!$B:$B, "*MUNK04*", 'PAPER BASE'!$C:$C, "Finish Foils", 'PAPER BASE'!$I:$I, X14)/ 0.07+SUMIFS('PAPER BASE'!$G:$G, 'PAPER BASE'!$B:$B, "*KING01*", 'PAPER BASE'!$C:$C, "Finish Foils", 'PAPER BASE'!$I:$I, X14)/ 0.07</f>
        <v>0</v>
      </c>
      <c r="Y15" s="52">
        <f>SUMIFS('PAPER BASE'!$G:$G, 'PAPER BASE'!$B:$B, "*MLTV01*", 'PAPER BASE'!$C:$C, "Finish Foils", 'PAPER BASE'!$I:$I, Y14)/ 0.04+SUMIFS('PAPER BASE'!$G:$G, 'PAPER BASE'!$B:$B, "*MUNK04*", 'PAPER BASE'!$C:$C, "Finish Foils", 'PAPER BASE'!$I:$I, Y14)/ 0.07+SUMIFS('PAPER BASE'!$G:$G, 'PAPER BASE'!$B:$B, "*KING01*", 'PAPER BASE'!$C:$C, "Finish Foils", 'PAPER BASE'!$I:$I, Y14)/ 0.07</f>
        <v>0</v>
      </c>
      <c r="Z15" s="52">
        <f>SUMIFS('PAPER BASE'!$G:$G, 'PAPER BASE'!$B:$B, "*MLTV01*", 'PAPER BASE'!$C:$C, "Finish Foils", 'PAPER BASE'!$I:$I, Z14)/ 0.04+SUMIFS('PAPER BASE'!$G:$G, 'PAPER BASE'!$B:$B, "*MUNK04*", 'PAPER BASE'!$C:$C, "Finish Foils", 'PAPER BASE'!$I:$I, Z14)/ 0.07+SUMIFS('PAPER BASE'!$G:$G, 'PAPER BASE'!$B:$B, "*KING01*", 'PAPER BASE'!$C:$C, "Finish Foils", 'PAPER BASE'!$I:$I, Z14)/ 0.07</f>
        <v>0</v>
      </c>
      <c r="AA15" s="52">
        <f>SUMIFS('PAPER BASE'!$G:$G, 'PAPER BASE'!$B:$B, "*MLTV01*", 'PAPER BASE'!$C:$C, "Finish Foils", 'PAPER BASE'!$I:$I, AA14)/ 0.04+SUMIFS('PAPER BASE'!$G:$G, 'PAPER BASE'!$B:$B, "*MUNK04*", 'PAPER BASE'!$C:$C, "Finish Foils", 'PAPER BASE'!$I:$I, AA14)/ 0.07+SUMIFS('PAPER BASE'!$G:$G, 'PAPER BASE'!$B:$B, "*KING01*", 'PAPER BASE'!$C:$C, "Finish Foils", 'PAPER BASE'!$I:$I, AA14)/ 0.07</f>
        <v>0</v>
      </c>
      <c r="AB15" s="52">
        <f>SUMIFS('PAPER BASE'!$G:$G, 'PAPER BASE'!$B:$B, "*MLTV01*", 'PAPER BASE'!$C:$C, "Finish Foils", 'PAPER BASE'!$I:$I, AB14)/ 0.04+SUMIFS('PAPER BASE'!$G:$G, 'PAPER BASE'!$B:$B, "*MUNK04*", 'PAPER BASE'!$C:$C, "Finish Foils", 'PAPER BASE'!$I:$I, AB14)/ 0.07+SUMIFS('PAPER BASE'!$G:$G, 'PAPER BASE'!$B:$B, "*KING01*", 'PAPER BASE'!$C:$C, "Finish Foils", 'PAPER BASE'!$I:$I, AB14)/ 0.07</f>
        <v>0</v>
      </c>
      <c r="AC15" s="52">
        <f>SUMIFS('PAPER BASE'!$G:$G, 'PAPER BASE'!$B:$B, "*MLTV01*", 'PAPER BASE'!$C:$C, "Finish Foils", 'PAPER BASE'!$I:$I, AC14)/ 0.04+SUMIFS('PAPER BASE'!$G:$G, 'PAPER BASE'!$B:$B, "*MUNK04*", 'PAPER BASE'!$C:$C, "Finish Foils", 'PAPER BASE'!$I:$I, AC14)/ 0.07+SUMIFS('PAPER BASE'!$G:$G, 'PAPER BASE'!$B:$B, "*KING01*", 'PAPER BASE'!$C:$C, "Finish Foils", 'PAPER BASE'!$I:$I, AC14)/ 0.07</f>
        <v>0</v>
      </c>
      <c r="AD15" s="52">
        <v>0</v>
      </c>
      <c r="AE15" s="53">
        <f>SUM(R15:AC15)</f>
        <v>14370953.571428569</v>
      </c>
    </row>
    <row r="16" spans="2:31" ht="9.9499999999999993" customHeight="1" x14ac:dyDescent="0.2">
      <c r="R16" s="83"/>
    </row>
    <row r="17" spans="2:31" ht="9.9499999999999993" customHeight="1" x14ac:dyDescent="0.2"/>
    <row r="18" spans="2:31" ht="30" x14ac:dyDescent="0.25">
      <c r="B18" s="70" t="s">
        <v>117</v>
      </c>
      <c r="C18" s="49">
        <v>46023</v>
      </c>
      <c r="D18" s="49">
        <v>46054</v>
      </c>
      <c r="E18" s="49">
        <v>46082</v>
      </c>
      <c r="F18" s="49">
        <v>46113</v>
      </c>
      <c r="G18" s="49">
        <v>46143</v>
      </c>
      <c r="H18" s="49">
        <v>46174</v>
      </c>
      <c r="I18" s="49">
        <v>46204</v>
      </c>
      <c r="J18" s="49">
        <v>46235</v>
      </c>
      <c r="K18" s="49">
        <v>46266</v>
      </c>
      <c r="L18" s="49">
        <v>46296</v>
      </c>
      <c r="M18" s="49">
        <v>46327</v>
      </c>
      <c r="N18" s="49">
        <v>46357</v>
      </c>
      <c r="O18" s="50" t="s">
        <v>1</v>
      </c>
      <c r="Q18" s="70" t="s">
        <v>117</v>
      </c>
      <c r="R18" s="84">
        <v>46023</v>
      </c>
      <c r="S18" s="84">
        <v>46054</v>
      </c>
      <c r="T18" s="84">
        <v>46082</v>
      </c>
      <c r="U18" s="84">
        <v>46113</v>
      </c>
      <c r="V18" s="84">
        <v>46143</v>
      </c>
      <c r="W18" s="84">
        <v>46174</v>
      </c>
      <c r="X18" s="84">
        <v>46204</v>
      </c>
      <c r="Y18" s="84">
        <v>46235</v>
      </c>
      <c r="Z18" s="84">
        <v>46266</v>
      </c>
      <c r="AA18" s="84">
        <v>46296</v>
      </c>
      <c r="AB18" s="84">
        <v>46327</v>
      </c>
      <c r="AC18" s="84">
        <v>46357</v>
      </c>
      <c r="AD18" s="49">
        <v>46023</v>
      </c>
      <c r="AE18" s="50" t="s">
        <v>1</v>
      </c>
    </row>
    <row r="19" spans="2:31" ht="15" x14ac:dyDescent="0.25">
      <c r="B19" s="70" t="s">
        <v>107</v>
      </c>
      <c r="C19" s="52">
        <f>SUMIF(Reunido!$BQ:$BQ,$B$19,Reunido!E:E)</f>
        <v>77515</v>
      </c>
      <c r="D19" s="52">
        <f>SUMIF(Reunido!$BQ:$BQ,$B$19,Reunido!J:J)</f>
        <v>260289</v>
      </c>
      <c r="E19" s="52">
        <f>SUMIF(Reunido!$BQ:$BQ,$B$19,Reunido!O:O)</f>
        <v>380338</v>
      </c>
      <c r="F19" s="52">
        <f>SUMIF(Reunido!$BQ:$BQ,$B$19,Reunido!T:T)</f>
        <v>211316</v>
      </c>
      <c r="G19" s="52">
        <f>SUMIF(Reunido!$BQ:$BQ,$B$19,Reunido!Y:Y)</f>
        <v>335919</v>
      </c>
      <c r="H19" s="52">
        <f>SUMIF(Reunido!$BQ:$BQ,$B$19,Reunido!AD:AD)</f>
        <v>90455</v>
      </c>
      <c r="I19" s="52">
        <f>SUMIF(Reunido!$BQ:$BQ,$B$19,Reunido!AI:AI)</f>
        <v>0</v>
      </c>
      <c r="J19" s="52">
        <f>SUMIF(Reunido!$BQ:$BQ,$B$19,Reunido!AN:AN)</f>
        <v>0</v>
      </c>
      <c r="K19" s="52">
        <f>SUMIF(Reunido!$BQ:$BQ,$B$19,Reunido!AS:AS)</f>
        <v>0</v>
      </c>
      <c r="L19" s="52">
        <f>SUMIF(Reunido!$BQ:$BQ,$B$19,Reunido!AX:AX)</f>
        <v>0</v>
      </c>
      <c r="M19" s="52">
        <f>SUMIF(Reunido!$BQ:$BQ,$B$19,Reunido!BC:BC)</f>
        <v>0</v>
      </c>
      <c r="N19" s="52">
        <f>SUMIF(Reunido!$BQ:$BQ,$B$19,Reunido!BH:BH)</f>
        <v>0</v>
      </c>
      <c r="O19" s="53">
        <f>SUM(C19:N19)</f>
        <v>1355832</v>
      </c>
      <c r="Q19" s="70" t="s">
        <v>107</v>
      </c>
      <c r="R19" s="52">
        <f t="shared" ref="R19:AA19" si="2">C19/0.08</f>
        <v>968937.5</v>
      </c>
      <c r="S19" s="52">
        <f>D19/0.08</f>
        <v>3253612.5</v>
      </c>
      <c r="T19" s="52">
        <f>E19/0.08</f>
        <v>4754225</v>
      </c>
      <c r="U19" s="52">
        <f>F19/0.08</f>
        <v>2641450</v>
      </c>
      <c r="V19" s="52">
        <f t="shared" si="2"/>
        <v>4198987.5</v>
      </c>
      <c r="W19" s="52">
        <f t="shared" si="2"/>
        <v>1130687.5</v>
      </c>
      <c r="X19" s="52">
        <f t="shared" si="2"/>
        <v>0</v>
      </c>
      <c r="Y19" s="52">
        <f t="shared" si="2"/>
        <v>0</v>
      </c>
      <c r="Z19" s="52">
        <f t="shared" si="2"/>
        <v>0</v>
      </c>
      <c r="AA19" s="52">
        <f t="shared" si="2"/>
        <v>0</v>
      </c>
      <c r="AB19" s="52">
        <f>M19/0.08</f>
        <v>0</v>
      </c>
      <c r="AC19" s="52">
        <f>N19/0.08</f>
        <v>0</v>
      </c>
      <c r="AD19" s="52"/>
      <c r="AE19" s="53">
        <f>SUM(R19:AC19)</f>
        <v>16947900</v>
      </c>
    </row>
    <row r="21" spans="2:31" ht="13.5" thickBot="1" x14ac:dyDescent="0.25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 spans="2:31" ht="15.75" thickTop="1" x14ac:dyDescent="0.25">
      <c r="B22" s="71" t="s">
        <v>120</v>
      </c>
      <c r="C22" s="55">
        <v>46023</v>
      </c>
      <c r="D22" s="55">
        <v>46054</v>
      </c>
      <c r="E22" s="55">
        <v>46082</v>
      </c>
      <c r="F22" s="55">
        <v>46113</v>
      </c>
      <c r="G22" s="55">
        <v>46143</v>
      </c>
      <c r="H22" s="55">
        <v>46174</v>
      </c>
      <c r="I22" s="55">
        <v>46204</v>
      </c>
      <c r="J22" s="55">
        <v>46235</v>
      </c>
      <c r="K22" s="55">
        <v>46266</v>
      </c>
      <c r="L22" s="55">
        <v>46296</v>
      </c>
      <c r="M22" s="55">
        <v>46327</v>
      </c>
      <c r="N22" s="55">
        <v>46357</v>
      </c>
      <c r="O22" s="56" t="s">
        <v>1</v>
      </c>
      <c r="Q22" s="74"/>
      <c r="R22" s="57">
        <v>46023</v>
      </c>
      <c r="S22" s="57">
        <v>46054</v>
      </c>
      <c r="T22" s="57">
        <v>46082</v>
      </c>
      <c r="U22" s="57">
        <v>46113</v>
      </c>
      <c r="V22" s="57">
        <v>46143</v>
      </c>
      <c r="W22" s="57">
        <v>46174</v>
      </c>
      <c r="X22" s="57">
        <v>46204</v>
      </c>
      <c r="Y22" s="57">
        <v>46235</v>
      </c>
      <c r="Z22" s="57">
        <v>46266</v>
      </c>
      <c r="AA22" s="57">
        <v>46296</v>
      </c>
      <c r="AB22" s="57">
        <v>46327</v>
      </c>
      <c r="AC22" s="57">
        <v>46357</v>
      </c>
      <c r="AD22" s="57" t="s">
        <v>121</v>
      </c>
      <c r="AE22" s="58" t="s">
        <v>1</v>
      </c>
    </row>
    <row r="23" spans="2:31" ht="15" x14ac:dyDescent="0.25">
      <c r="B23" s="72" t="s">
        <v>108</v>
      </c>
      <c r="C23" s="52">
        <f t="shared" ref="C23:N25" si="3">SUMIF($B$2:$B$21,$B23,C$2:C$21)</f>
        <v>267059</v>
      </c>
      <c r="D23" s="52">
        <f t="shared" si="3"/>
        <v>88509</v>
      </c>
      <c r="E23" s="52">
        <f>SUMIF($B$2:$B$21,$B23,E$2:E$21)</f>
        <v>584966</v>
      </c>
      <c r="F23" s="52">
        <f t="shared" si="3"/>
        <v>720393</v>
      </c>
      <c r="G23" s="52">
        <f t="shared" si="3"/>
        <v>373064</v>
      </c>
      <c r="H23" s="52">
        <f>SUMIF($B$2:$B$21,$B23,H$2:H$21)</f>
        <v>626051</v>
      </c>
      <c r="I23" s="52">
        <f t="shared" si="3"/>
        <v>0</v>
      </c>
      <c r="J23" s="52">
        <f t="shared" si="3"/>
        <v>0</v>
      </c>
      <c r="K23" s="52">
        <f t="shared" si="3"/>
        <v>0</v>
      </c>
      <c r="L23" s="52">
        <f t="shared" si="3"/>
        <v>0</v>
      </c>
      <c r="M23" s="52">
        <f t="shared" si="3"/>
        <v>0</v>
      </c>
      <c r="N23" s="52">
        <f>SUMIF($B$2:$B$21,$B23,N$2:N$21)</f>
        <v>0</v>
      </c>
      <c r="O23" s="59">
        <f>SUM(C23:N23)</f>
        <v>2660042</v>
      </c>
      <c r="Q23" s="75" t="s">
        <v>108</v>
      </c>
      <c r="R23" s="52">
        <f>SUMIF($B$2:$B$21,$B23,R$2:R$21)</f>
        <v>3927338.2352941176</v>
      </c>
      <c r="S23" s="52">
        <f t="shared" ref="S23:AC25" si="4">SUMIF($B$2:$B$21,$B23,S$2:S$21)</f>
        <v>1301602.9411764706</v>
      </c>
      <c r="T23" s="52">
        <f t="shared" si="4"/>
        <v>8602441.176470587</v>
      </c>
      <c r="U23" s="52">
        <f t="shared" si="4"/>
        <v>10594014.705882352</v>
      </c>
      <c r="V23" s="52">
        <f t="shared" si="4"/>
        <v>5486235.2941176463</v>
      </c>
      <c r="W23" s="52">
        <f t="shared" si="4"/>
        <v>9206632.3529411759</v>
      </c>
      <c r="X23" s="52">
        <f t="shared" si="4"/>
        <v>0</v>
      </c>
      <c r="Y23" s="52">
        <f t="shared" si="4"/>
        <v>0</v>
      </c>
      <c r="Z23" s="52">
        <f t="shared" si="4"/>
        <v>0</v>
      </c>
      <c r="AA23" s="52">
        <f t="shared" si="4"/>
        <v>0</v>
      </c>
      <c r="AB23" s="52">
        <f t="shared" si="4"/>
        <v>0</v>
      </c>
      <c r="AC23" s="52">
        <f t="shared" si="4"/>
        <v>0</v>
      </c>
      <c r="AD23" s="52"/>
      <c r="AE23" s="60">
        <f>SUM(R23:AC23)</f>
        <v>39118264.705882348</v>
      </c>
    </row>
    <row r="24" spans="2:31" ht="15" x14ac:dyDescent="0.25">
      <c r="B24" s="72" t="s">
        <v>109</v>
      </c>
      <c r="C24" s="52">
        <f t="shared" si="3"/>
        <v>118340</v>
      </c>
      <c r="D24" s="52">
        <f t="shared" si="3"/>
        <v>45411</v>
      </c>
      <c r="E24" s="52">
        <f t="shared" si="3"/>
        <v>144702</v>
      </c>
      <c r="F24" s="52">
        <f t="shared" si="3"/>
        <v>216929</v>
      </c>
      <c r="G24" s="52">
        <f t="shared" si="3"/>
        <v>63804</v>
      </c>
      <c r="H24" s="52">
        <f t="shared" si="3"/>
        <v>98927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9">
        <f>SUM(C24:N24)</f>
        <v>688113</v>
      </c>
      <c r="Q24" s="75" t="s">
        <v>109</v>
      </c>
      <c r="R24" s="52">
        <f>SUMIF($B$2:$B$21,$B24,R$2:R$21)</f>
        <v>2454992.8571428573</v>
      </c>
      <c r="S24" s="52">
        <f t="shared" si="4"/>
        <v>1135275</v>
      </c>
      <c r="T24" s="52">
        <f t="shared" si="4"/>
        <v>3098914.2857142854</v>
      </c>
      <c r="U24" s="52">
        <f t="shared" si="4"/>
        <v>3856110.7142857141</v>
      </c>
      <c r="V24" s="52">
        <f t="shared" si="4"/>
        <v>2153121.4285714282</v>
      </c>
      <c r="W24" s="52">
        <f t="shared" si="4"/>
        <v>1672539.2857142857</v>
      </c>
      <c r="X24" s="52">
        <f t="shared" si="4"/>
        <v>0</v>
      </c>
      <c r="Y24" s="52">
        <f t="shared" si="4"/>
        <v>0</v>
      </c>
      <c r="Z24" s="52">
        <f t="shared" si="4"/>
        <v>0</v>
      </c>
      <c r="AA24" s="52">
        <f t="shared" si="4"/>
        <v>0</v>
      </c>
      <c r="AB24" s="52">
        <f t="shared" si="4"/>
        <v>0</v>
      </c>
      <c r="AC24" s="52">
        <f t="shared" si="4"/>
        <v>0</v>
      </c>
      <c r="AD24" s="52"/>
      <c r="AE24" s="60">
        <f>SUM(R24:AC24)</f>
        <v>14370953.571428569</v>
      </c>
    </row>
    <row r="25" spans="2:31" ht="15.75" thickBot="1" x14ac:dyDescent="0.3">
      <c r="B25" s="72" t="s">
        <v>107</v>
      </c>
      <c r="C25" s="52">
        <f t="shared" si="3"/>
        <v>77515</v>
      </c>
      <c r="D25" s="52">
        <f t="shared" si="3"/>
        <v>260289</v>
      </c>
      <c r="E25" s="52">
        <f t="shared" si="3"/>
        <v>380338</v>
      </c>
      <c r="F25" s="52">
        <f t="shared" si="3"/>
        <v>211316</v>
      </c>
      <c r="G25" s="52">
        <f t="shared" si="3"/>
        <v>335919</v>
      </c>
      <c r="H25" s="52">
        <f t="shared" si="3"/>
        <v>90455</v>
      </c>
      <c r="I25" s="52">
        <f t="shared" si="3"/>
        <v>0</v>
      </c>
      <c r="J25" s="52">
        <f t="shared" si="3"/>
        <v>0</v>
      </c>
      <c r="K25" s="52">
        <f t="shared" si="3"/>
        <v>0</v>
      </c>
      <c r="L25" s="52">
        <f t="shared" si="3"/>
        <v>0</v>
      </c>
      <c r="M25" s="52">
        <f t="shared" si="3"/>
        <v>0</v>
      </c>
      <c r="N25" s="52">
        <f t="shared" si="3"/>
        <v>0</v>
      </c>
      <c r="O25" s="59">
        <f>SUM(C25:N25)</f>
        <v>1355832</v>
      </c>
      <c r="Q25" s="76" t="s">
        <v>107</v>
      </c>
      <c r="R25" s="61">
        <f>SUMIF($B$2:$B$21,$B25,R$2:R$21)</f>
        <v>968937.5</v>
      </c>
      <c r="S25" s="61">
        <f t="shared" si="4"/>
        <v>3253612.5</v>
      </c>
      <c r="T25" s="61">
        <f t="shared" si="4"/>
        <v>4754225</v>
      </c>
      <c r="U25" s="61">
        <f t="shared" si="4"/>
        <v>2641450</v>
      </c>
      <c r="V25" s="61">
        <f t="shared" si="4"/>
        <v>4198987.5</v>
      </c>
      <c r="W25" s="61">
        <f t="shared" si="4"/>
        <v>1130687.5</v>
      </c>
      <c r="X25" s="61">
        <f t="shared" si="4"/>
        <v>0</v>
      </c>
      <c r="Y25" s="61">
        <f t="shared" si="4"/>
        <v>0</v>
      </c>
      <c r="Z25" s="61">
        <f t="shared" si="4"/>
        <v>0</v>
      </c>
      <c r="AA25" s="61">
        <f t="shared" si="4"/>
        <v>0</v>
      </c>
      <c r="AB25" s="61">
        <f t="shared" si="4"/>
        <v>0</v>
      </c>
      <c r="AC25" s="61">
        <f t="shared" si="4"/>
        <v>0</v>
      </c>
      <c r="AD25" s="61"/>
      <c r="AE25" s="62">
        <f>SUM(R25:AC25)</f>
        <v>16947900</v>
      </c>
    </row>
    <row r="26" spans="2:31" ht="15.75" thickBot="1" x14ac:dyDescent="0.3">
      <c r="B26" s="73" t="s">
        <v>3</v>
      </c>
      <c r="C26" s="63">
        <f t="shared" ref="C26:M26" si="5">SUM(C23:C25)</f>
        <v>462914</v>
      </c>
      <c r="D26" s="63">
        <f t="shared" si="5"/>
        <v>394209</v>
      </c>
      <c r="E26" s="63">
        <f t="shared" si="5"/>
        <v>1110006</v>
      </c>
      <c r="F26" s="63">
        <f>SUM(F23:F25)</f>
        <v>1148638</v>
      </c>
      <c r="G26" s="63">
        <f t="shared" si="5"/>
        <v>772787</v>
      </c>
      <c r="H26" s="63">
        <f t="shared" si="5"/>
        <v>815433</v>
      </c>
      <c r="I26" s="63">
        <f t="shared" si="5"/>
        <v>0</v>
      </c>
      <c r="J26" s="63">
        <f t="shared" si="5"/>
        <v>0</v>
      </c>
      <c r="K26" s="63">
        <f t="shared" si="5"/>
        <v>0</v>
      </c>
      <c r="L26" s="63">
        <f t="shared" si="5"/>
        <v>0</v>
      </c>
      <c r="M26" s="63">
        <f t="shared" si="5"/>
        <v>0</v>
      </c>
      <c r="N26" s="63">
        <f>SUM(N23:N25)</f>
        <v>0</v>
      </c>
      <c r="O26" s="64">
        <f>SUM(C26:N26)</f>
        <v>4703987</v>
      </c>
      <c r="Q26" s="77" t="s">
        <v>3</v>
      </c>
      <c r="R26" s="65">
        <f>SUM(R23:R25)</f>
        <v>7351268.5924369749</v>
      </c>
      <c r="S26" s="65">
        <f t="shared" ref="S26:AC26" si="6">SUM(S23:S25)</f>
        <v>5690490.4411764704</v>
      </c>
      <c r="T26" s="65">
        <f t="shared" si="6"/>
        <v>16455580.462184872</v>
      </c>
      <c r="U26" s="65">
        <f t="shared" si="6"/>
        <v>17091575.420168065</v>
      </c>
      <c r="V26" s="65">
        <f t="shared" si="6"/>
        <v>11838344.222689074</v>
      </c>
      <c r="W26" s="65">
        <f t="shared" si="6"/>
        <v>12009859.138655461</v>
      </c>
      <c r="X26" s="65">
        <f t="shared" si="6"/>
        <v>0</v>
      </c>
      <c r="Y26" s="65">
        <f t="shared" si="6"/>
        <v>0</v>
      </c>
      <c r="Z26" s="65">
        <f t="shared" si="6"/>
        <v>0</v>
      </c>
      <c r="AA26" s="65">
        <f t="shared" si="6"/>
        <v>0</v>
      </c>
      <c r="AB26" s="65">
        <f t="shared" si="6"/>
        <v>0</v>
      </c>
      <c r="AC26" s="65">
        <f t="shared" si="6"/>
        <v>0</v>
      </c>
      <c r="AD26" s="65"/>
      <c r="AE26" s="66">
        <f>SUM(R26:AC26)</f>
        <v>70437118.277310908</v>
      </c>
    </row>
    <row r="27" spans="2:31" ht="13.5" thickTop="1" x14ac:dyDescent="0.2"/>
    <row r="28" spans="2:31" ht="13.5" thickBot="1" x14ac:dyDescent="0.25"/>
    <row r="29" spans="2:31" ht="15.75" thickTop="1" x14ac:dyDescent="0.25">
      <c r="B29" s="67" t="s">
        <v>10</v>
      </c>
      <c r="C29" s="55">
        <v>46023</v>
      </c>
      <c r="D29" s="55">
        <v>46054</v>
      </c>
      <c r="E29" s="55">
        <v>46082</v>
      </c>
      <c r="F29" s="55">
        <v>46113</v>
      </c>
      <c r="G29" s="55">
        <v>46143</v>
      </c>
      <c r="H29" s="55">
        <v>46174</v>
      </c>
      <c r="I29" s="55">
        <v>46204</v>
      </c>
      <c r="J29" s="55">
        <v>46235</v>
      </c>
      <c r="K29" s="55">
        <v>46266</v>
      </c>
      <c r="L29" s="55">
        <v>46296</v>
      </c>
      <c r="M29" s="55">
        <v>46327</v>
      </c>
      <c r="N29" s="55">
        <v>46357</v>
      </c>
      <c r="O29" s="56" t="s">
        <v>1</v>
      </c>
    </row>
    <row r="30" spans="2:31" ht="15" x14ac:dyDescent="0.25">
      <c r="B30" s="68" t="s">
        <v>108</v>
      </c>
      <c r="C30" s="52">
        <f>SUMIF(Reunido!$BQ:$BQ,$B$30,Reunido!I:I)</f>
        <v>677284.35027287691</v>
      </c>
      <c r="D30" s="52">
        <f>SUMIF(Reunido!$BQ:$BQ,$B$30,Reunido!N:N)</f>
        <v>200932.67588802811</v>
      </c>
      <c r="E30" s="52">
        <f>SUMIF(Reunido!$BQ:$BQ,$B$30,Reunido!S:S)</f>
        <v>1380174.9009013972</v>
      </c>
      <c r="F30" s="52">
        <f>SUMIF(Reunido!$BQ:$BQ,$B$30,Reunido!X:X)</f>
        <v>1571733.5902648971</v>
      </c>
      <c r="G30" s="52">
        <f>SUMIF(Reunido!$BQ:$BQ,$B$30,Reunido!AC:AC)</f>
        <v>825671.78990098985</v>
      </c>
      <c r="H30" s="52">
        <f>SUMIF(Reunido!$BQ:$BQ,$B$30,Reunido!AH:AH)</f>
        <v>1310741.9726675192</v>
      </c>
      <c r="I30" s="52">
        <f>SUMIF(Reunido!$BQ:$BQ,$B$30,Reunido!AM:AM)</f>
        <v>0</v>
      </c>
      <c r="J30" s="52">
        <f>SUMIF(Reunido!$BQ:$BQ,$B$30,Reunido!AR:AR)</f>
        <v>0</v>
      </c>
      <c r="K30" s="52">
        <f>SUMIF(Reunido!$BQ:$BQ,$B$30,Reunido!AW:AW)</f>
        <v>0</v>
      </c>
      <c r="L30" s="52">
        <f>SUMIF(Reunido!$BQ:$BQ,$B$30,Reunido!BB:BB)</f>
        <v>0</v>
      </c>
      <c r="M30" s="52">
        <f>SUMIF(Reunido!$BQ:$BQ,$B$30,Reunido!BG:BG)</f>
        <v>0</v>
      </c>
      <c r="N30" s="52">
        <f>SUMIF(Reunido!$BQ:$BQ,$B$30,Reunido!BL:BL)</f>
        <v>0</v>
      </c>
      <c r="O30" s="59">
        <f>SUM(C30:N30)</f>
        <v>5966539.2798957089</v>
      </c>
    </row>
    <row r="31" spans="2:31" ht="15" x14ac:dyDescent="0.25">
      <c r="B31" s="68" t="s">
        <v>109</v>
      </c>
      <c r="C31" s="52">
        <f>SUMIF(Reunido!$BQ:$BQ,$B$31,Reunido!I:I)</f>
        <v>328978.89871604659</v>
      </c>
      <c r="D31" s="52">
        <f>SUMIF(Reunido!$BQ:$BQ,$B$31,Reunido!N:N)</f>
        <v>96038.661596760707</v>
      </c>
      <c r="E31" s="52">
        <f>SUMIF(Reunido!$BQ:$BQ,$B$31,Reunido!S:S)</f>
        <v>483670.06588196382</v>
      </c>
      <c r="F31" s="52">
        <f>SUMIF(Reunido!$BQ:$BQ,$B$31,Reunido!X:X)</f>
        <v>641229.87932988408</v>
      </c>
      <c r="G31" s="52">
        <f>SUMIF(Reunido!$BQ:$BQ,$B$31,Reunido!AC:AC)</f>
        <v>174657.60089643713</v>
      </c>
      <c r="H31" s="52">
        <f>SUMIF(Reunido!$BQ:$BQ,$B$31,Reunido!AH:AH)</f>
        <v>292167.36685805582</v>
      </c>
      <c r="I31" s="52">
        <f>SUMIF(Reunido!$BQ:$BQ,$B$31,Reunido!AM:AM)</f>
        <v>0</v>
      </c>
      <c r="J31" s="52">
        <f>SUMIF(Reunido!$BQ:$BQ,$B$31,Reunido!AR:AR)</f>
        <v>0</v>
      </c>
      <c r="K31" s="52">
        <f>SUMIF(Reunido!$BQ:$BQ,$B$31,Reunido!AW:AW)</f>
        <v>0</v>
      </c>
      <c r="L31" s="52">
        <f>SUMIF(Reunido!$BQ:$BQ,$B$31,Reunido!BB:BB)</f>
        <v>0</v>
      </c>
      <c r="M31" s="52">
        <f>SUMIF(Reunido!$BQ:$BQ,$B$31,Reunido!BG:BG)</f>
        <v>0</v>
      </c>
      <c r="N31" s="52">
        <f>SUMIF(Reunido!$BQ:$BQ,$B$31,Reunido!BL:BL)</f>
        <v>0</v>
      </c>
      <c r="O31" s="59">
        <f>SUM(C31:N31)</f>
        <v>2016742.4732791483</v>
      </c>
    </row>
    <row r="32" spans="2:31" ht="15.75" thickBot="1" x14ac:dyDescent="0.3">
      <c r="B32" s="68" t="s">
        <v>107</v>
      </c>
      <c r="C32" s="52">
        <f>SUMIF(Reunido!$BQ:$BQ,$B$32,Reunido!I:I)</f>
        <v>190228.06137383834</v>
      </c>
      <c r="D32" s="52">
        <f>SUMIF(Reunido!$BQ:$BQ,$B$32,Reunido!N:N)</f>
        <v>596985.73095225613</v>
      </c>
      <c r="E32" s="52">
        <f>SUMIF(Reunido!$BQ:$BQ,$B$32,Reunido!S:S)</f>
        <v>734675.17766077688</v>
      </c>
      <c r="F32" s="52">
        <f>SUMIF(Reunido!$BQ:$BQ,$B$32,Reunido!X:X)</f>
        <v>479432.73924983345</v>
      </c>
      <c r="G32" s="52">
        <f>SUMIF(Reunido!$BQ:$BQ,$B$32,Reunido!AC:AC)</f>
        <v>701045.181049017</v>
      </c>
      <c r="H32" s="52">
        <f>SUMIF(Reunido!$BQ:$BQ,$B$32,Reunido!AH:AH)</f>
        <v>215392.85239895573</v>
      </c>
      <c r="I32" s="52">
        <f>SUMIF(Reunido!$BQ:$BQ,$B$32,Reunido!AM:AM)</f>
        <v>0</v>
      </c>
      <c r="J32" s="52">
        <f>SUMIF(Reunido!$BQ:$BQ,$B$32,Reunido!AR:AR)</f>
        <v>0</v>
      </c>
      <c r="K32" s="52">
        <f>SUMIF(Reunido!$BQ:$BQ,$B$32,Reunido!AW:AW)</f>
        <v>0</v>
      </c>
      <c r="L32" s="52">
        <f>SUMIF(Reunido!$BQ:$BQ,$B$32,Reunido!BB:BB)</f>
        <v>0</v>
      </c>
      <c r="M32" s="52">
        <f>SUMIF(Reunido!$BQ:$BQ,$B$32,Reunido!BG:BG)</f>
        <v>0</v>
      </c>
      <c r="N32" s="52">
        <f>SUMIF(Reunido!$BQ:$BQ,$B$32,Reunido!BL:BL)</f>
        <v>0</v>
      </c>
      <c r="O32" s="59">
        <f>SUM(C32:N32)</f>
        <v>2917759.7426846777</v>
      </c>
    </row>
    <row r="33" spans="2:15" ht="15.75" thickBot="1" x14ac:dyDescent="0.3">
      <c r="B33" s="69" t="s">
        <v>3</v>
      </c>
      <c r="C33" s="63">
        <f t="shared" ref="C33:M33" si="7">SUM(C30:C32)</f>
        <v>1196491.3103627618</v>
      </c>
      <c r="D33" s="63">
        <f t="shared" si="7"/>
        <v>893957.06843704497</v>
      </c>
      <c r="E33" s="63">
        <f>SUM(E30:E32)</f>
        <v>2598520.1444441378</v>
      </c>
      <c r="F33" s="63">
        <f>SUM(F30:F32)</f>
        <v>2692396.2088446147</v>
      </c>
      <c r="G33" s="63">
        <f t="shared" si="7"/>
        <v>1701374.5718464439</v>
      </c>
      <c r="H33" s="63">
        <f t="shared" si="7"/>
        <v>1818302.1919245308</v>
      </c>
      <c r="I33" s="63">
        <f t="shared" si="7"/>
        <v>0</v>
      </c>
      <c r="J33" s="63">
        <f t="shared" si="7"/>
        <v>0</v>
      </c>
      <c r="K33" s="63">
        <f t="shared" si="7"/>
        <v>0</v>
      </c>
      <c r="L33" s="63">
        <f t="shared" si="7"/>
        <v>0</v>
      </c>
      <c r="M33" s="63">
        <f t="shared" si="7"/>
        <v>0</v>
      </c>
      <c r="N33" s="63">
        <f>SUM(N30:N32)</f>
        <v>0</v>
      </c>
      <c r="O33" s="64">
        <f>SUM(C33:N33)</f>
        <v>10901041.495859535</v>
      </c>
    </row>
    <row r="34" spans="2:15" ht="13.5" thickTop="1" x14ac:dyDescent="0.2"/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5FA2-9276-41D4-B906-C5DCFCABE324}">
  <dimension ref="A1:D17"/>
  <sheetViews>
    <sheetView workbookViewId="0">
      <selection activeCell="D24" sqref="D24"/>
    </sheetView>
  </sheetViews>
  <sheetFormatPr defaultRowHeight="12.75" x14ac:dyDescent="0.2"/>
  <cols>
    <col min="1" max="1" width="70.85546875" bestFit="1" customWidth="1"/>
    <col min="2" max="2" width="14.28515625" bestFit="1" customWidth="1"/>
    <col min="3" max="3" width="14.140625" bestFit="1" customWidth="1"/>
    <col min="4" max="4" width="15.5703125" bestFit="1" customWidth="1"/>
  </cols>
  <sheetData>
    <row r="1" spans="1:4" x14ac:dyDescent="0.2">
      <c r="A1" s="95"/>
      <c r="B1" s="96"/>
      <c r="C1" s="96"/>
      <c r="D1" s="96"/>
    </row>
    <row r="2" spans="1:4" x14ac:dyDescent="0.2">
      <c r="A2" s="97"/>
      <c r="B2" s="98"/>
      <c r="C2" s="98"/>
      <c r="D2" s="98"/>
    </row>
    <row r="3" spans="1:4" x14ac:dyDescent="0.2">
      <c r="A3" t="s">
        <v>218</v>
      </c>
      <c r="B3" t="s">
        <v>113</v>
      </c>
      <c r="C3" t="s">
        <v>114</v>
      </c>
      <c r="D3" t="s">
        <v>115</v>
      </c>
    </row>
    <row r="4" spans="1:4" x14ac:dyDescent="0.2">
      <c r="A4" s="82" t="s">
        <v>185</v>
      </c>
      <c r="B4" s="2">
        <v>22889</v>
      </c>
      <c r="C4" s="2">
        <v>339661.69999999995</v>
      </c>
      <c r="D4" s="2">
        <v>57586.134340560544</v>
      </c>
    </row>
    <row r="5" spans="1:4" x14ac:dyDescent="0.2">
      <c r="A5" s="82" t="s">
        <v>183</v>
      </c>
      <c r="B5" s="2">
        <v>576526</v>
      </c>
      <c r="C5" s="2">
        <v>6680439.3438959997</v>
      </c>
      <c r="D5" s="2">
        <v>1128863.9575492684</v>
      </c>
    </row>
    <row r="6" spans="1:4" x14ac:dyDescent="0.2">
      <c r="A6" s="82" t="s">
        <v>217</v>
      </c>
      <c r="B6" s="2">
        <v>152693</v>
      </c>
      <c r="C6" s="2">
        <v>2277252.71</v>
      </c>
      <c r="D6" s="2">
        <v>386361.3561647365</v>
      </c>
    </row>
    <row r="7" spans="1:4" x14ac:dyDescent="0.2">
      <c r="A7" s="82" t="s">
        <v>122</v>
      </c>
      <c r="B7" s="2">
        <v>362603</v>
      </c>
      <c r="C7" s="2">
        <v>4428273.0873450004</v>
      </c>
      <c r="D7" s="2">
        <v>735586.2581987537</v>
      </c>
    </row>
    <row r="8" spans="1:4" x14ac:dyDescent="0.2">
      <c r="A8" s="82" t="s">
        <v>123</v>
      </c>
      <c r="B8" s="2">
        <v>61316</v>
      </c>
      <c r="C8" s="2">
        <v>950499.44999999984</v>
      </c>
      <c r="D8" s="2">
        <v>157261.01316727951</v>
      </c>
    </row>
    <row r="9" spans="1:4" x14ac:dyDescent="0.2">
      <c r="A9" s="82" t="s">
        <v>124</v>
      </c>
      <c r="B9" s="2">
        <v>323326</v>
      </c>
      <c r="C9" s="2">
        <v>6040408.9418290006</v>
      </c>
      <c r="D9" s="2">
        <v>1000843.7176853518</v>
      </c>
    </row>
    <row r="10" spans="1:4" x14ac:dyDescent="0.2">
      <c r="A10" s="82" t="s">
        <v>225</v>
      </c>
      <c r="B10" s="2">
        <v>36262</v>
      </c>
      <c r="C10" s="2">
        <v>471842.95999999996</v>
      </c>
      <c r="D10" s="2">
        <v>81092.319616951878</v>
      </c>
    </row>
    <row r="11" spans="1:4" x14ac:dyDescent="0.2">
      <c r="A11" s="82" t="s">
        <v>186</v>
      </c>
      <c r="B11" s="2">
        <v>264326</v>
      </c>
      <c r="C11" s="2">
        <v>4365687.7787719993</v>
      </c>
      <c r="D11" s="2">
        <v>729072.63502155198</v>
      </c>
    </row>
    <row r="12" spans="1:4" x14ac:dyDescent="0.2">
      <c r="A12" s="82" t="s">
        <v>125</v>
      </c>
      <c r="B12" s="2">
        <v>246629</v>
      </c>
      <c r="C12" s="2">
        <v>2710657.1360169998</v>
      </c>
      <c r="D12" s="2">
        <v>452902.24087258015</v>
      </c>
    </row>
    <row r="13" spans="1:4" x14ac:dyDescent="0.2">
      <c r="A13" s="82" t="s">
        <v>126</v>
      </c>
      <c r="B13" s="2">
        <v>602089</v>
      </c>
      <c r="C13" s="2">
        <v>11082303.477836</v>
      </c>
      <c r="D13" s="2">
        <v>1847292.1753477401</v>
      </c>
    </row>
    <row r="14" spans="1:4" x14ac:dyDescent="0.2">
      <c r="A14" s="82" t="s">
        <v>182</v>
      </c>
      <c r="B14" s="2">
        <v>1683253</v>
      </c>
      <c r="C14" s="2">
        <v>19547428.940310001</v>
      </c>
      <c r="D14" s="2">
        <v>3278384.5198661499</v>
      </c>
    </row>
    <row r="15" spans="1:4" x14ac:dyDescent="0.2">
      <c r="A15" s="82" t="s">
        <v>127</v>
      </c>
      <c r="B15" s="2">
        <v>347282</v>
      </c>
      <c r="C15" s="2">
        <v>5945703.1698829997</v>
      </c>
      <c r="D15" s="2">
        <v>983589.55958434893</v>
      </c>
    </row>
    <row r="16" spans="1:4" x14ac:dyDescent="0.2">
      <c r="A16" s="82" t="s">
        <v>240</v>
      </c>
      <c r="B16" s="2">
        <v>24793</v>
      </c>
      <c r="C16" s="2">
        <v>367067.89</v>
      </c>
      <c r="D16" s="2">
        <v>62205.608444259728</v>
      </c>
    </row>
    <row r="17" spans="1:4" x14ac:dyDescent="0.2">
      <c r="A17" s="82" t="s">
        <v>112</v>
      </c>
      <c r="B17" s="2">
        <v>4703987</v>
      </c>
      <c r="C17" s="2">
        <v>65207226.585887998</v>
      </c>
      <c r="D17" s="2">
        <v>10901041.495859534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1D63-3715-48D2-B132-71B3CC86ED65}">
  <sheetPr filterMode="1"/>
  <dimension ref="A1:BR80"/>
  <sheetViews>
    <sheetView showGridLines="0" tabSelected="1" workbookViewId="0">
      <pane xSplit="1" ySplit="3" topLeftCell="D4" activePane="bottomRight" state="frozen"/>
      <selection pane="topRight" activeCell="B1" sqref="B1"/>
      <selection pane="bottomLeft" activeCell="A5" sqref="A5"/>
      <selection pane="bottomRight" activeCell="AF80" sqref="AF80"/>
    </sheetView>
  </sheetViews>
  <sheetFormatPr defaultRowHeight="12.75" outlineLevelCol="1" x14ac:dyDescent="0.2"/>
  <cols>
    <col min="1" max="1" width="60" bestFit="1" customWidth="1"/>
    <col min="2" max="2" width="11.7109375" customWidth="1"/>
    <col min="3" max="3" width="63.85546875" bestFit="1" customWidth="1"/>
    <col min="4" max="4" width="10.85546875" style="80" bestFit="1" customWidth="1"/>
    <col min="5" max="5" width="9.140625" hidden="1" customWidth="1" outlineLevel="1"/>
    <col min="6" max="6" width="6" hidden="1" customWidth="1" outlineLevel="1"/>
    <col min="7" max="7" width="7.42578125" hidden="1" customWidth="1" outlineLevel="1"/>
    <col min="8" max="8" width="10.140625" hidden="1" customWidth="1" outlineLevel="1"/>
    <col min="9" max="9" width="10.85546875" hidden="1" customWidth="1" outlineLevel="1"/>
    <col min="10" max="10" width="10.140625" hidden="1" customWidth="1" outlineLevel="1" collapsed="1"/>
    <col min="11" max="11" width="6" hidden="1" customWidth="1" outlineLevel="1"/>
    <col min="12" max="12" width="7.42578125" hidden="1" customWidth="1" outlineLevel="1"/>
    <col min="13" max="13" width="11.7109375" hidden="1" customWidth="1" outlineLevel="1"/>
    <col min="14" max="14" width="10.85546875" hidden="1" customWidth="1" outlineLevel="1"/>
    <col min="15" max="15" width="10.140625" hidden="1" customWidth="1" outlineLevel="1"/>
    <col min="16" max="16" width="6" hidden="1" customWidth="1" outlineLevel="1"/>
    <col min="17" max="17" width="7.42578125" hidden="1" customWidth="1" outlineLevel="1"/>
    <col min="18" max="18" width="11.7109375" hidden="1" customWidth="1" outlineLevel="1"/>
    <col min="19" max="19" width="10.85546875" hidden="1" customWidth="1" outlineLevel="1"/>
    <col min="20" max="20" width="10.140625" hidden="1" customWidth="1" outlineLevel="1"/>
    <col min="21" max="21" width="10.5703125" hidden="1" customWidth="1" outlineLevel="1"/>
    <col min="22" max="22" width="12" hidden="1" customWidth="1" outlineLevel="1"/>
    <col min="23" max="23" width="11.7109375" hidden="1" customWidth="1" outlineLevel="1"/>
    <col min="24" max="24" width="10.85546875" hidden="1" customWidth="1" outlineLevel="1"/>
    <col min="25" max="25" width="10.140625" hidden="1" customWidth="1" outlineLevel="1" collapsed="1"/>
    <col min="26" max="26" width="10.5703125" hidden="1" customWidth="1" outlineLevel="1"/>
    <col min="27" max="27" width="12" hidden="1" customWidth="1" outlineLevel="1"/>
    <col min="28" max="28" width="11.7109375" hidden="1" customWidth="1" outlineLevel="1"/>
    <col min="29" max="29" width="11" hidden="1" customWidth="1" outlineLevel="1"/>
    <col min="30" max="30" width="10.140625" customWidth="1" collapsed="1"/>
    <col min="31" max="31" width="10.5703125" bestFit="1" customWidth="1"/>
    <col min="32" max="32" width="12" bestFit="1" customWidth="1"/>
    <col min="33" max="33" width="11.7109375" customWidth="1"/>
    <col min="34" max="34" width="10.85546875" customWidth="1"/>
    <col min="35" max="35" width="8.5703125" hidden="1" customWidth="1" outlineLevel="1"/>
    <col min="36" max="36" width="6" hidden="1" customWidth="1" outlineLevel="1"/>
    <col min="37" max="37" width="7.42578125" hidden="1" customWidth="1" outlineLevel="1"/>
    <col min="38" max="38" width="4.5703125" hidden="1" customWidth="1" outlineLevel="1"/>
    <col min="39" max="39" width="10.85546875" hidden="1" customWidth="1" outlineLevel="1"/>
    <col min="40" max="40" width="8.5703125" hidden="1" customWidth="1" outlineLevel="1"/>
    <col min="41" max="41" width="6" hidden="1" customWidth="1" outlineLevel="1"/>
    <col min="42" max="42" width="7.42578125" hidden="1" customWidth="1" outlineLevel="1"/>
    <col min="43" max="43" width="4.5703125" hidden="1" customWidth="1" outlineLevel="1"/>
    <col min="44" max="44" width="10.85546875" hidden="1" customWidth="1" outlineLevel="1"/>
    <col min="45" max="45" width="8.5703125" hidden="1" customWidth="1" outlineLevel="1"/>
    <col min="46" max="46" width="6" hidden="1" customWidth="1" outlineLevel="1"/>
    <col min="47" max="47" width="7.42578125" hidden="1" customWidth="1" outlineLevel="1"/>
    <col min="48" max="48" width="4.5703125" hidden="1" customWidth="1" outlineLevel="1"/>
    <col min="49" max="49" width="10.85546875" hidden="1" customWidth="1" outlineLevel="1"/>
    <col min="50" max="50" width="8.5703125" hidden="1" customWidth="1" outlineLevel="1"/>
    <col min="51" max="51" width="6" hidden="1" customWidth="1" outlineLevel="1"/>
    <col min="52" max="52" width="7.42578125" hidden="1" customWidth="1" outlineLevel="1"/>
    <col min="53" max="53" width="4.5703125" hidden="1" customWidth="1" outlineLevel="1"/>
    <col min="54" max="54" width="10.85546875" hidden="1" customWidth="1" outlineLevel="1"/>
    <col min="55" max="55" width="8.5703125" hidden="1" customWidth="1" outlineLevel="1"/>
    <col min="56" max="56" width="6" hidden="1" customWidth="1" outlineLevel="1"/>
    <col min="57" max="57" width="7.42578125" hidden="1" customWidth="1" outlineLevel="1"/>
    <col min="58" max="58" width="4.5703125" hidden="1" customWidth="1" outlineLevel="1"/>
    <col min="59" max="59" width="10.85546875" hidden="1" customWidth="1" outlineLevel="1"/>
    <col min="60" max="60" width="8.5703125" hidden="1" customWidth="1" outlineLevel="1"/>
    <col min="61" max="61" width="6" hidden="1" customWidth="1" outlineLevel="1"/>
    <col min="62" max="62" width="7.42578125" hidden="1" customWidth="1" outlineLevel="1"/>
    <col min="63" max="63" width="7.85546875" hidden="1" customWidth="1" outlineLevel="1"/>
    <col min="64" max="64" width="10.85546875" hidden="1" customWidth="1" outlineLevel="1"/>
    <col min="65" max="65" width="10.140625" bestFit="1" customWidth="1" collapsed="1"/>
    <col min="66" max="66" width="12.7109375" bestFit="1" customWidth="1"/>
    <col min="67" max="67" width="11.7109375" bestFit="1" customWidth="1"/>
    <col min="68" max="68" width="13.5703125" bestFit="1" customWidth="1"/>
    <col min="69" max="69" width="14.7109375" bestFit="1" customWidth="1"/>
    <col min="70" max="70" width="10.28515625" bestFit="1" customWidth="1"/>
  </cols>
  <sheetData>
    <row r="1" spans="1:70" ht="21" thickBot="1" x14ac:dyDescent="0.25">
      <c r="A1" s="94" t="s">
        <v>88</v>
      </c>
      <c r="B1" s="94"/>
      <c r="C1" s="94"/>
      <c r="D1" s="78"/>
      <c r="E1" s="91" t="s">
        <v>11</v>
      </c>
      <c r="F1" s="92"/>
      <c r="G1" s="92"/>
      <c r="H1" s="92"/>
      <c r="I1" s="26">
        <v>6.2763</v>
      </c>
      <c r="J1" s="91" t="s">
        <v>12</v>
      </c>
      <c r="K1" s="92"/>
      <c r="L1" s="92"/>
      <c r="M1" s="92"/>
      <c r="N1" s="26">
        <v>6.2217000000000002</v>
      </c>
      <c r="O1" s="91" t="s">
        <v>13</v>
      </c>
      <c r="P1" s="92"/>
      <c r="Q1" s="92"/>
      <c r="R1" s="92"/>
      <c r="S1" s="26">
        <v>6.0461666666666671</v>
      </c>
      <c r="T1" s="91" t="s">
        <v>22</v>
      </c>
      <c r="U1" s="92"/>
      <c r="V1" s="92"/>
      <c r="W1" s="92"/>
      <c r="X1" s="26">
        <v>5.8900249999999996</v>
      </c>
      <c r="Y1" s="91" t="s">
        <v>21</v>
      </c>
      <c r="Z1" s="92"/>
      <c r="AA1" s="92"/>
      <c r="AB1" s="92"/>
      <c r="AC1" s="26">
        <v>5.8185899999999995</v>
      </c>
      <c r="AD1" s="91" t="s">
        <v>20</v>
      </c>
      <c r="AE1" s="92"/>
      <c r="AF1" s="92"/>
      <c r="AG1" s="92"/>
      <c r="AH1" s="26">
        <v>5.9008809523809536</v>
      </c>
      <c r="AI1" s="91" t="s">
        <v>19</v>
      </c>
      <c r="AJ1" s="92"/>
      <c r="AK1" s="92"/>
      <c r="AL1" s="92"/>
      <c r="AM1" s="26">
        <v>0</v>
      </c>
      <c r="AN1" s="91" t="s">
        <v>18</v>
      </c>
      <c r="AO1" s="92"/>
      <c r="AP1" s="92"/>
      <c r="AQ1" s="92"/>
      <c r="AR1" s="26">
        <v>0</v>
      </c>
      <c r="AS1" s="91" t="s">
        <v>17</v>
      </c>
      <c r="AT1" s="92"/>
      <c r="AU1" s="92"/>
      <c r="AV1" s="92"/>
      <c r="AW1" s="26">
        <v>0</v>
      </c>
      <c r="AX1" s="91" t="s">
        <v>16</v>
      </c>
      <c r="AY1" s="92"/>
      <c r="AZ1" s="92"/>
      <c r="BA1" s="92"/>
      <c r="BB1" s="26">
        <v>0</v>
      </c>
      <c r="BC1" s="91" t="s">
        <v>15</v>
      </c>
      <c r="BD1" s="92"/>
      <c r="BE1" s="92"/>
      <c r="BF1" s="92"/>
      <c r="BG1" s="26">
        <v>0</v>
      </c>
      <c r="BH1" s="91" t="s">
        <v>14</v>
      </c>
      <c r="BI1" s="92"/>
      <c r="BJ1" s="92"/>
      <c r="BK1" s="92"/>
      <c r="BL1" s="26">
        <v>0</v>
      </c>
      <c r="BM1" s="93" t="s">
        <v>1</v>
      </c>
      <c r="BN1" s="93"/>
      <c r="BO1" s="93"/>
    </row>
    <row r="2" spans="1:70" ht="21" thickBot="1" x14ac:dyDescent="0.25">
      <c r="A2" s="94"/>
      <c r="B2" s="94"/>
      <c r="C2" s="94"/>
      <c r="D2" s="78"/>
      <c r="E2" s="27" t="s">
        <v>8</v>
      </c>
      <c r="F2" s="89" t="s">
        <v>9</v>
      </c>
      <c r="G2" s="89"/>
      <c r="H2" s="89" t="s">
        <v>3</v>
      </c>
      <c r="I2" s="90"/>
      <c r="J2" s="27" t="s">
        <v>8</v>
      </c>
      <c r="K2" s="89" t="s">
        <v>9</v>
      </c>
      <c r="L2" s="89"/>
      <c r="M2" s="89" t="s">
        <v>3</v>
      </c>
      <c r="N2" s="90"/>
      <c r="O2" s="27" t="s">
        <v>8</v>
      </c>
      <c r="P2" s="89" t="s">
        <v>9</v>
      </c>
      <c r="Q2" s="89"/>
      <c r="R2" s="89" t="s">
        <v>3</v>
      </c>
      <c r="S2" s="90"/>
      <c r="T2" s="27" t="s">
        <v>8</v>
      </c>
      <c r="U2" s="89" t="s">
        <v>9</v>
      </c>
      <c r="V2" s="89"/>
      <c r="W2" s="89" t="s">
        <v>3</v>
      </c>
      <c r="X2" s="90"/>
      <c r="Y2" s="27" t="s">
        <v>8</v>
      </c>
      <c r="Z2" s="89" t="s">
        <v>9</v>
      </c>
      <c r="AA2" s="89"/>
      <c r="AB2" s="89" t="s">
        <v>3</v>
      </c>
      <c r="AC2" s="90"/>
      <c r="AD2" s="27" t="s">
        <v>8</v>
      </c>
      <c r="AE2" s="89" t="s">
        <v>9</v>
      </c>
      <c r="AF2" s="89"/>
      <c r="AG2" s="89" t="s">
        <v>3</v>
      </c>
      <c r="AH2" s="90"/>
      <c r="AI2" s="27" t="s">
        <v>8</v>
      </c>
      <c r="AJ2" s="89" t="s">
        <v>9</v>
      </c>
      <c r="AK2" s="89"/>
      <c r="AL2" s="89" t="s">
        <v>3</v>
      </c>
      <c r="AM2" s="90"/>
      <c r="AN2" s="27" t="s">
        <v>8</v>
      </c>
      <c r="AO2" s="89" t="s">
        <v>9</v>
      </c>
      <c r="AP2" s="89"/>
      <c r="AQ2" s="89" t="s">
        <v>3</v>
      </c>
      <c r="AR2" s="90"/>
      <c r="AS2" s="27" t="s">
        <v>8</v>
      </c>
      <c r="AT2" s="89" t="s">
        <v>9</v>
      </c>
      <c r="AU2" s="89"/>
      <c r="AV2" s="89" t="s">
        <v>3</v>
      </c>
      <c r="AW2" s="90"/>
      <c r="AX2" s="27" t="s">
        <v>8</v>
      </c>
      <c r="AY2" s="89" t="s">
        <v>9</v>
      </c>
      <c r="AZ2" s="89"/>
      <c r="BA2" s="89" t="s">
        <v>3</v>
      </c>
      <c r="BB2" s="90"/>
      <c r="BC2" s="27" t="s">
        <v>8</v>
      </c>
      <c r="BD2" s="89" t="s">
        <v>9</v>
      </c>
      <c r="BE2" s="89"/>
      <c r="BF2" s="89" t="s">
        <v>3</v>
      </c>
      <c r="BG2" s="90"/>
      <c r="BH2" s="27" t="s">
        <v>8</v>
      </c>
      <c r="BI2" s="89" t="s">
        <v>9</v>
      </c>
      <c r="BJ2" s="89"/>
      <c r="BK2" s="89" t="s">
        <v>3</v>
      </c>
      <c r="BL2" s="90"/>
      <c r="BM2" s="28"/>
      <c r="BN2" s="28"/>
      <c r="BO2" s="28"/>
    </row>
    <row r="3" spans="1:70" ht="13.5" thickBot="1" x14ac:dyDescent="0.25">
      <c r="A3" s="29" t="s">
        <v>23</v>
      </c>
      <c r="B3" s="30" t="s">
        <v>2</v>
      </c>
      <c r="C3" s="31" t="s">
        <v>7</v>
      </c>
      <c r="D3" s="31" t="s">
        <v>176</v>
      </c>
      <c r="E3" s="32" t="s">
        <v>0</v>
      </c>
      <c r="F3" s="33" t="s">
        <v>4</v>
      </c>
      <c r="G3" s="33" t="s">
        <v>6</v>
      </c>
      <c r="H3" s="33" t="s">
        <v>5</v>
      </c>
      <c r="I3" s="34" t="s">
        <v>10</v>
      </c>
      <c r="J3" s="32" t="s">
        <v>0</v>
      </c>
      <c r="K3" s="33" t="s">
        <v>4</v>
      </c>
      <c r="L3" s="33" t="s">
        <v>6</v>
      </c>
      <c r="M3" s="33" t="s">
        <v>5</v>
      </c>
      <c r="N3" s="34" t="s">
        <v>10</v>
      </c>
      <c r="O3" s="32" t="s">
        <v>0</v>
      </c>
      <c r="P3" s="33" t="s">
        <v>4</v>
      </c>
      <c r="Q3" s="33" t="s">
        <v>6</v>
      </c>
      <c r="R3" s="33" t="s">
        <v>5</v>
      </c>
      <c r="S3" s="34" t="s">
        <v>10</v>
      </c>
      <c r="T3" s="32" t="s">
        <v>0</v>
      </c>
      <c r="U3" s="33" t="s">
        <v>4</v>
      </c>
      <c r="V3" s="33" t="s">
        <v>6</v>
      </c>
      <c r="W3" s="33" t="s">
        <v>5</v>
      </c>
      <c r="X3" s="34" t="s">
        <v>10</v>
      </c>
      <c r="Y3" s="32" t="s">
        <v>0</v>
      </c>
      <c r="Z3" s="33" t="s">
        <v>4</v>
      </c>
      <c r="AA3" s="33" t="s">
        <v>6</v>
      </c>
      <c r="AB3" s="33" t="s">
        <v>5</v>
      </c>
      <c r="AC3" s="34" t="s">
        <v>10</v>
      </c>
      <c r="AD3" s="32" t="s">
        <v>0</v>
      </c>
      <c r="AE3" s="33" t="s">
        <v>4</v>
      </c>
      <c r="AF3" s="33" t="s">
        <v>6</v>
      </c>
      <c r="AG3" s="33" t="s">
        <v>5</v>
      </c>
      <c r="AH3" s="34" t="s">
        <v>10</v>
      </c>
      <c r="AI3" s="32" t="s">
        <v>0</v>
      </c>
      <c r="AJ3" s="33" t="s">
        <v>4</v>
      </c>
      <c r="AK3" s="33" t="s">
        <v>6</v>
      </c>
      <c r="AL3" s="33" t="s">
        <v>5</v>
      </c>
      <c r="AM3" s="34" t="s">
        <v>10</v>
      </c>
      <c r="AN3" s="32" t="s">
        <v>0</v>
      </c>
      <c r="AO3" s="33" t="s">
        <v>4</v>
      </c>
      <c r="AP3" s="33" t="s">
        <v>6</v>
      </c>
      <c r="AQ3" s="33" t="s">
        <v>5</v>
      </c>
      <c r="AR3" s="34" t="s">
        <v>10</v>
      </c>
      <c r="AS3" s="32" t="s">
        <v>0</v>
      </c>
      <c r="AT3" s="33" t="s">
        <v>4</v>
      </c>
      <c r="AU3" s="33" t="s">
        <v>6</v>
      </c>
      <c r="AV3" s="33" t="s">
        <v>5</v>
      </c>
      <c r="AW3" s="34" t="s">
        <v>10</v>
      </c>
      <c r="AX3" s="32" t="s">
        <v>0</v>
      </c>
      <c r="AY3" s="33" t="s">
        <v>4</v>
      </c>
      <c r="AZ3" s="33" t="s">
        <v>6</v>
      </c>
      <c r="BA3" s="33" t="s">
        <v>5</v>
      </c>
      <c r="BB3" s="34" t="s">
        <v>10</v>
      </c>
      <c r="BC3" s="32" t="s">
        <v>0</v>
      </c>
      <c r="BD3" s="33" t="s">
        <v>4</v>
      </c>
      <c r="BE3" s="33" t="s">
        <v>6</v>
      </c>
      <c r="BF3" s="33" t="s">
        <v>5</v>
      </c>
      <c r="BG3" s="34" t="s">
        <v>10</v>
      </c>
      <c r="BH3" s="32" t="s">
        <v>0</v>
      </c>
      <c r="BI3" s="33" t="s">
        <v>4</v>
      </c>
      <c r="BJ3" s="33" t="s">
        <v>6</v>
      </c>
      <c r="BK3" s="33" t="s">
        <v>5</v>
      </c>
      <c r="BL3" s="34" t="s">
        <v>10</v>
      </c>
      <c r="BM3" s="33" t="s">
        <v>0</v>
      </c>
      <c r="BN3" s="33" t="s">
        <v>5</v>
      </c>
      <c r="BO3" s="34" t="s">
        <v>10</v>
      </c>
      <c r="BP3" s="33" t="s">
        <v>89</v>
      </c>
      <c r="BQ3" s="33" t="s">
        <v>90</v>
      </c>
      <c r="BR3" s="33" t="s">
        <v>91</v>
      </c>
    </row>
    <row r="4" spans="1:70" hidden="1" x14ac:dyDescent="0.2">
      <c r="A4" t="s">
        <v>185</v>
      </c>
      <c r="B4" s="2" t="s">
        <v>134</v>
      </c>
      <c r="C4" s="2" t="s">
        <v>135</v>
      </c>
      <c r="D4" s="79">
        <v>2060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1366</v>
      </c>
      <c r="P4" s="2">
        <v>13.55</v>
      </c>
      <c r="Q4" s="2">
        <f>P4/$S$1</f>
        <v>2.2410893954847424</v>
      </c>
      <c r="R4" s="2">
        <v>18506.52</v>
      </c>
      <c r="S4" s="2">
        <f>R4/$S$1</f>
        <v>3060.8683187694683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f>SUM(E4,J4,O4,T4,Y4,AD4,AI4,AN4,AS4,AX4,BC4,BH4)</f>
        <v>1366</v>
      </c>
      <c r="BN4" s="2">
        <f>SUM(H4,M4,R4,W4,AB4,AG4,AL4,AQ4,AV4,BA4,BF4,BK4)</f>
        <v>18506.52</v>
      </c>
      <c r="BO4" s="2">
        <f>SUM(I4,N4,S4,X4,AC4,AH4,AM4,AR4,AW4,BB4,BG4,BL4)</f>
        <v>3060.8683187694683</v>
      </c>
      <c r="BP4" s="35">
        <f>IF(BM4=0,"",BO4/BM4)</f>
        <v>2.2407527955852622</v>
      </c>
      <c r="BQ4" t="s">
        <v>108</v>
      </c>
    </row>
    <row r="5" spans="1:70" hidden="1" x14ac:dyDescent="0.2">
      <c r="A5" t="s">
        <v>185</v>
      </c>
      <c r="B5" s="2" t="s">
        <v>187</v>
      </c>
      <c r="C5" s="2" t="s">
        <v>188</v>
      </c>
      <c r="D5" s="79">
        <v>1865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7391</v>
      </c>
      <c r="U5" s="2">
        <v>16.98</v>
      </c>
      <c r="V5" s="2">
        <f>U5/$X$1</f>
        <v>2.8828400558571485</v>
      </c>
      <c r="W5" s="2">
        <v>125470.72</v>
      </c>
      <c r="X5" s="2">
        <f>W5/$X$1</f>
        <v>21302.238954843146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f>SUM(E5,J5,O5,T5,Y5,AD5,AI5,AN5,AS5,AX5,BC5,BH5)</f>
        <v>7391</v>
      </c>
      <c r="BN5" s="2">
        <f>SUM(H5,M5,R5,W5,AB5,AG5,AL5,AQ5,AV5,BA5,BF5,BK5)</f>
        <v>125470.72</v>
      </c>
      <c r="BO5" s="2">
        <f>SUM(I5,N5,S5,X5,AC5,AH5,AM5,AR5,AW5,BB5,BG5,BL5)</f>
        <v>21302.238954843146</v>
      </c>
      <c r="BP5" s="35">
        <f>IF(BM5=0,"",BO5/BM5)</f>
        <v>2.8821863015617839</v>
      </c>
      <c r="BQ5" t="s">
        <v>107</v>
      </c>
      <c r="BR5" t="s">
        <v>110</v>
      </c>
    </row>
    <row r="6" spans="1:70" hidden="1" x14ac:dyDescent="0.2">
      <c r="A6" t="s">
        <v>185</v>
      </c>
      <c r="B6" s="2" t="s">
        <v>189</v>
      </c>
      <c r="C6" s="2" t="s">
        <v>190</v>
      </c>
      <c r="D6" s="79">
        <v>1870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7695</v>
      </c>
      <c r="U6" s="2">
        <v>13.85</v>
      </c>
      <c r="V6" s="2">
        <f>U6/$X$1</f>
        <v>2.3514331433228213</v>
      </c>
      <c r="W6" s="2">
        <v>106551.93</v>
      </c>
      <c r="X6" s="2">
        <f>W6/$X$1</f>
        <v>18090.233912419728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f>SUM(E6,J6,O6,T6,Y6,AD6,AI6,AN6,AS6,AX6,BC6,BH6)</f>
        <v>7695</v>
      </c>
      <c r="BN6" s="2">
        <f>SUM(H6,M6,R6,W6,AB6,AG6,AL6,AQ6,AV6,BA6,BF6,BK6)</f>
        <v>106551.93</v>
      </c>
      <c r="BO6" s="2">
        <f>SUM(I6,N6,S6,X6,AC6,AH6,AM6,AR6,AW6,BB6,BG6,BL6)</f>
        <v>18090.233912419728</v>
      </c>
      <c r="BP6" s="35">
        <f>IF(BM6=0,"",BO6/BM6)</f>
        <v>2.3509075909577293</v>
      </c>
      <c r="BQ6" t="s">
        <v>108</v>
      </c>
    </row>
    <row r="7" spans="1:70" hidden="1" x14ac:dyDescent="0.2">
      <c r="A7" t="s">
        <v>185</v>
      </c>
      <c r="B7" s="2" t="s">
        <v>191</v>
      </c>
      <c r="C7" s="2" t="s">
        <v>192</v>
      </c>
      <c r="D7" s="79">
        <v>1870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6437</v>
      </c>
      <c r="U7" s="2">
        <v>13.85</v>
      </c>
      <c r="V7" s="2">
        <f>U7/$X$1</f>
        <v>2.3514331433228213</v>
      </c>
      <c r="W7" s="2">
        <v>89132.53</v>
      </c>
      <c r="X7" s="2">
        <f>W7/$X$1</f>
        <v>15132.793154528208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f>SUM(E7,J7,O7,T7,Y7,AD7,AI7,AN7,AS7,AX7,BC7,BH7)</f>
        <v>6437</v>
      </c>
      <c r="BN7" s="2">
        <f>SUM(H7,M7,R7,W7,AB7,AG7,AL7,AQ7,AV7,BA7,BF7,BK7)</f>
        <v>89132.53</v>
      </c>
      <c r="BO7" s="2">
        <f>SUM(I7,N7,S7,X7,AC7,AH7,AM7,AR7,AW7,BB7,BG7,BL7)</f>
        <v>15132.793154528208</v>
      </c>
      <c r="BP7" s="35">
        <f>IF(BM7=0,"",BO7/BM7)</f>
        <v>2.3509077449942843</v>
      </c>
      <c r="BQ7" t="s">
        <v>108</v>
      </c>
    </row>
    <row r="8" spans="1:70" hidden="1" x14ac:dyDescent="0.2">
      <c r="A8" t="s">
        <v>183</v>
      </c>
      <c r="B8" s="3" t="s">
        <v>36</v>
      </c>
      <c r="C8" s="3" t="s">
        <v>37</v>
      </c>
      <c r="D8" s="79" t="s">
        <v>177</v>
      </c>
      <c r="E8" s="2">
        <v>25137</v>
      </c>
      <c r="F8" s="2">
        <v>13.702960000000001</v>
      </c>
      <c r="G8" s="2">
        <v>2.1832924699</v>
      </c>
      <c r="H8" s="2">
        <v>344451.30552000005</v>
      </c>
      <c r="I8" s="2">
        <v>54881.422815664708</v>
      </c>
      <c r="J8" s="2">
        <v>25228</v>
      </c>
      <c r="K8" s="2">
        <v>13.602141999999997</v>
      </c>
      <c r="L8" s="2">
        <v>2.2111992611</v>
      </c>
      <c r="M8" s="2">
        <v>343154.838376</v>
      </c>
      <c r="N8" s="2">
        <v>55784.134958753202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f>SUM(E8,J8,O8,T8,Y8,AD8,AI8,AN8,AS8,AX8,BC8,BH8)</f>
        <v>50365</v>
      </c>
      <c r="BN8" s="2">
        <f>SUM(H8,M8,R8,W8,AB8,AG8,AL8,AQ8,AV8,BA8,BF8,BK8)</f>
        <v>687606.14389599999</v>
      </c>
      <c r="BO8" s="2">
        <f>SUM(I8,N8,S8,X8,AC8,AH8,AM8,AR8,AW8,BB8,BG8,BL8)</f>
        <v>110665.55777441792</v>
      </c>
      <c r="BP8" s="35">
        <f>IF(BM8=0,"",BO8/BM8)</f>
        <v>2.1972710766289669</v>
      </c>
      <c r="BQ8" t="s">
        <v>108</v>
      </c>
    </row>
    <row r="9" spans="1:70" hidden="1" x14ac:dyDescent="0.2">
      <c r="A9" t="s">
        <v>183</v>
      </c>
      <c r="B9" s="2" t="s">
        <v>132</v>
      </c>
      <c r="C9" s="2" t="s">
        <v>133</v>
      </c>
      <c r="D9" s="79">
        <v>1860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2030</v>
      </c>
      <c r="P9" s="2">
        <v>9.44</v>
      </c>
      <c r="Q9" s="2">
        <f>P9/$S$1</f>
        <v>1.5613198445295915</v>
      </c>
      <c r="R9" s="2">
        <v>19153.439999999999</v>
      </c>
      <c r="S9" s="2">
        <f>R9/$S$1</f>
        <v>3167.8650384541165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f>SUM(E9,J9,O9,T9,Y9,AD9,AI9,AN9,AS9,AX9,BC9,BH9)</f>
        <v>2030</v>
      </c>
      <c r="BN9" s="2">
        <f>SUM(H9,M9,R9,W9,AB9,AG9,AL9,AQ9,AV9,BA9,BF9,BK9)</f>
        <v>19153.439999999999</v>
      </c>
      <c r="BO9" s="2">
        <f>SUM(I9,N9,S9,X9,AC9,AH9,AM9,AR9,AW9,BB9,BG9,BL9)</f>
        <v>3167.8650384541165</v>
      </c>
      <c r="BP9" s="35">
        <f>IF(BM9=0,"",BO9/BM9)</f>
        <v>1.5605246494847864</v>
      </c>
      <c r="BQ9" s="81" t="s">
        <v>108</v>
      </c>
    </row>
    <row r="10" spans="1:70" x14ac:dyDescent="0.2">
      <c r="A10" t="s">
        <v>183</v>
      </c>
      <c r="B10" s="126" t="s">
        <v>193</v>
      </c>
      <c r="C10" s="2" t="s">
        <v>194</v>
      </c>
      <c r="D10" s="79">
        <v>1870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190866</v>
      </c>
      <c r="U10" s="2">
        <v>11.406666666666666</v>
      </c>
      <c r="V10" s="2">
        <f>U10/$X$1</f>
        <v>1.9366075129845233</v>
      </c>
      <c r="W10" s="2">
        <v>2168071.2200000002</v>
      </c>
      <c r="X10" s="2">
        <f>W10/$X$1</f>
        <v>368092.02337850863</v>
      </c>
      <c r="Y10" s="2">
        <v>49815</v>
      </c>
      <c r="Z10" s="2">
        <v>11.4</v>
      </c>
      <c r="AA10" s="2">
        <f>Z10/$AC$1</f>
        <v>1.9592375472408265</v>
      </c>
      <c r="AB10" s="2">
        <v>567892.49</v>
      </c>
      <c r="AC10" s="2">
        <f>AB10/$AC$1</f>
        <v>97599.674491586455</v>
      </c>
      <c r="AD10" s="2">
        <v>49515</v>
      </c>
      <c r="AE10" s="2">
        <v>11.504795920428153</v>
      </c>
      <c r="AF10" s="2">
        <f>AE10/$AH$1</f>
        <v>1.949674296646515</v>
      </c>
      <c r="AG10" s="2">
        <v>569659.97</v>
      </c>
      <c r="AH10" s="2">
        <f>AG10/$AH$1</f>
        <v>96538.122798452183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f>SUM(E10,J10,O10,T10,Y10,AD10,AI10,AN10,AS10,AX10,BC10,BH10)</f>
        <v>290196</v>
      </c>
      <c r="BN10" s="2">
        <f>SUM(H10,M10,R10,W10,AB10,AG10,AL10,AQ10,AV10,BA10,BF10,BK10)</f>
        <v>3305623.6799999997</v>
      </c>
      <c r="BO10" s="2">
        <f>SUM(I10,N10,S10,X10,AC10,AH10,AM10,AR10,AW10,BB10,BG10,BL10)</f>
        <v>562229.8206685473</v>
      </c>
      <c r="BP10" s="35">
        <f>IF(BM10=0,"",BO10/BM10)</f>
        <v>1.9374140948481278</v>
      </c>
      <c r="BQ10" t="s">
        <v>108</v>
      </c>
    </row>
    <row r="11" spans="1:70" x14ac:dyDescent="0.2">
      <c r="A11" t="s">
        <v>183</v>
      </c>
      <c r="B11" s="124" t="s">
        <v>195</v>
      </c>
      <c r="C11" s="2" t="s">
        <v>196</v>
      </c>
      <c r="D11" s="79">
        <v>1870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75156</v>
      </c>
      <c r="U11" s="2">
        <v>11.32</v>
      </c>
      <c r="V11" s="2">
        <f>U11/$X$1</f>
        <v>1.9218933705714323</v>
      </c>
      <c r="W11" s="2">
        <v>847291.6</v>
      </c>
      <c r="X11" s="2">
        <f>W11/$X$1</f>
        <v>143851.95309018213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49727</v>
      </c>
      <c r="AE11" s="2">
        <v>11.461659862851167</v>
      </c>
      <c r="AF11" s="2">
        <f>AE11/$AH$1</f>
        <v>1.9423641919477275</v>
      </c>
      <c r="AG11" s="2">
        <v>569953.96</v>
      </c>
      <c r="AH11" s="2">
        <f>AG11/$AH$1</f>
        <v>96587.944172984644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f>SUM(E11,J11,O11,T11,Y11,AD11,AI11,AN11,AS11,AX11,BC11,BH11)</f>
        <v>124883</v>
      </c>
      <c r="BN11" s="2">
        <f>SUM(H11,M11,R11,W11,AB11,AG11,AL11,AQ11,AV11,BA11,BF11,BK11)</f>
        <v>1417245.56</v>
      </c>
      <c r="BO11" s="2">
        <f>SUM(I11,N11,S11,X11,AC11,AH11,AM11,AR11,AW11,BB11,BG11,BL11)</f>
        <v>240439.89726316679</v>
      </c>
      <c r="BP11" s="35">
        <f>IF(BM11=0,"",BO11/BM11)</f>
        <v>1.925321278822312</v>
      </c>
      <c r="BQ11" t="s">
        <v>108</v>
      </c>
    </row>
    <row r="12" spans="1:70" hidden="1" x14ac:dyDescent="0.2">
      <c r="A12" t="s">
        <v>183</v>
      </c>
      <c r="B12" s="2" t="s">
        <v>199</v>
      </c>
      <c r="C12" s="2" t="s">
        <v>200</v>
      </c>
      <c r="D12" s="79">
        <v>1870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100046</v>
      </c>
      <c r="U12" s="2">
        <v>11.553333333333335</v>
      </c>
      <c r="V12" s="2">
        <f>U12/$X$1</f>
        <v>1.9615083693759086</v>
      </c>
      <c r="W12" s="2">
        <v>1152059.73</v>
      </c>
      <c r="X12" s="2">
        <f>W12/$X$1</f>
        <v>195595.04925700655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f>SUM(E12,J12,O12,T12,Y12,AD12,AI12,AN12,AS12,AX12,BC12,BH12)</f>
        <v>100046</v>
      </c>
      <c r="BN12" s="2">
        <f>SUM(H12,M12,R12,W12,AB12,AG12,AL12,AQ12,AV12,BA12,BF12,BK12)</f>
        <v>1152059.73</v>
      </c>
      <c r="BO12" s="2">
        <f>SUM(I12,N12,S12,X12,AC12,AH12,AM12,AR12,AW12,BB12,BG12,BL12)</f>
        <v>195595.04925700655</v>
      </c>
      <c r="BP12" s="35">
        <f>IF(BM12=0,"",BO12/BM12)</f>
        <v>1.9550511690323107</v>
      </c>
      <c r="BQ12" t="s">
        <v>108</v>
      </c>
    </row>
    <row r="13" spans="1:70" hidden="1" x14ac:dyDescent="0.2">
      <c r="A13" t="s">
        <v>183</v>
      </c>
      <c r="B13" t="s">
        <v>205</v>
      </c>
      <c r="C13" t="s">
        <v>206</v>
      </c>
      <c r="D13" s="80">
        <v>1870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5928</v>
      </c>
      <c r="U13">
        <v>10.97</v>
      </c>
      <c r="V13" s="2">
        <f>U13/$X$1</f>
        <v>1.8624708723647185</v>
      </c>
      <c r="W13" s="2">
        <v>65000.52</v>
      </c>
      <c r="X13" s="2">
        <f>W13/$X$1</f>
        <v>11035.695094672774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f>SUM(E13,J13,O13,T13,Y13,AD13,AI13,AN13,AS13,AX13,BC13,BH13)</f>
        <v>5928</v>
      </c>
      <c r="BN13" s="2">
        <f>SUM(H13,M13,R13,W13,AB13,AG13,AL13,AQ13,AV13,BA13,BF13,BK13)</f>
        <v>65000.52</v>
      </c>
      <c r="BO13" s="2">
        <f>SUM(I13,N13,S13,X13,AC13,AH13,AM13,AR13,AW13,BB13,BG13,BL13)</f>
        <v>11035.695094672774</v>
      </c>
      <c r="BP13" s="35">
        <f>IF(BM13=0,"",BO13/BM13)</f>
        <v>1.8616219795331939</v>
      </c>
      <c r="BQ13" t="s">
        <v>108</v>
      </c>
    </row>
    <row r="14" spans="1:70" hidden="1" x14ac:dyDescent="0.2">
      <c r="A14" t="s">
        <v>183</v>
      </c>
      <c r="B14" t="s">
        <v>207</v>
      </c>
      <c r="C14" t="s">
        <v>208</v>
      </c>
      <c r="D14" s="80">
        <v>1860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3078</v>
      </c>
      <c r="U14">
        <v>10.97</v>
      </c>
      <c r="V14" s="2">
        <f>U14/$X$1</f>
        <v>1.8624708723647185</v>
      </c>
      <c r="W14" s="2">
        <v>33750.269999999997</v>
      </c>
      <c r="X14" s="2">
        <f>W14/$X$1</f>
        <v>5730.0724530031703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f>SUM(E14,J14,O14,T14,Y14,AD14,AI14,AN14,AS14,AX14,BC14,BH14)</f>
        <v>3078</v>
      </c>
      <c r="BN14" s="2">
        <f>SUM(H14,M14,R14,W14,AB14,AG14,AL14,AQ14,AV14,BA14,BF14,BK14)</f>
        <v>33750.269999999997</v>
      </c>
      <c r="BO14" s="2">
        <f>SUM(I14,N14,S14,X14,AC14,AH14,AM14,AR14,AW14,BB14,BG14,BL14)</f>
        <v>5730.0724530031703</v>
      </c>
      <c r="BP14" s="35">
        <f>IF(BM14=0,"",BO14/BM14)</f>
        <v>1.8616219795331936</v>
      </c>
      <c r="BQ14" t="s">
        <v>108</v>
      </c>
    </row>
    <row r="15" spans="1:70" x14ac:dyDescent="0.2">
      <c r="A15" t="s">
        <v>217</v>
      </c>
      <c r="B15" s="124" t="s">
        <v>197</v>
      </c>
      <c r="C15" s="2" t="s">
        <v>198</v>
      </c>
      <c r="D15" s="79">
        <v>1880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45773</v>
      </c>
      <c r="U15" s="2">
        <v>16.7</v>
      </c>
      <c r="V15" s="2">
        <f>U15/$X$1</f>
        <v>2.8353020572917771</v>
      </c>
      <c r="W15" s="2">
        <v>764559.24</v>
      </c>
      <c r="X15" s="2">
        <f>W15/$X$1</f>
        <v>129805.77162236154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50485</v>
      </c>
      <c r="AE15" s="2">
        <v>16.95</v>
      </c>
      <c r="AF15" s="2">
        <v>2.8724524586724334</v>
      </c>
      <c r="AG15" s="2">
        <v>855926.73</v>
      </c>
      <c r="AH15" s="2">
        <v>145050.66902843397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f>SUM(E15,J15,O15,T15,Y15,AD15,AI15,AN15,AS15,AX15,BC15,BH15)</f>
        <v>96258</v>
      </c>
      <c r="BN15" s="2">
        <f>SUM(H15,M15,R15,W15,AB15,AG15,AL15,AQ15,AV15,BA15,BF15,BK15)</f>
        <v>1620485.97</v>
      </c>
      <c r="BO15" s="2">
        <f>SUM(I15,N15,S15,X15,AC15,AH15,AM15,AR15,AW15,BB15,BG15,BL15)</f>
        <v>274856.44065079553</v>
      </c>
      <c r="BP15" s="35">
        <f>IF(BM15=0,"",BO15/BM15)</f>
        <v>2.8554139983252877</v>
      </c>
      <c r="BQ15" t="s">
        <v>109</v>
      </c>
    </row>
    <row r="16" spans="1:70" hidden="1" x14ac:dyDescent="0.2">
      <c r="A16" t="s">
        <v>217</v>
      </c>
      <c r="B16" t="s">
        <v>201</v>
      </c>
      <c r="C16" t="s">
        <v>202</v>
      </c>
      <c r="D16" s="80">
        <v>1870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841</v>
      </c>
      <c r="U16">
        <v>7.18</v>
      </c>
      <c r="V16" s="2">
        <f>U16/$X$1</f>
        <v>1.2190101060691594</v>
      </c>
      <c r="W16" s="2">
        <v>6037.94</v>
      </c>
      <c r="X16" s="2">
        <f>W16/$X$1</f>
        <v>1025.1127966349889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f>SUM(E16,J16,O16,T16,Y16,AD16,AI16,AN16,AS16,AX16,BC16,BH16)</f>
        <v>841</v>
      </c>
      <c r="BN16" s="2">
        <f>SUM(H16,M16,R16,W16,AB16,AG16,AL16,AQ16,AV16,BA16,BF16,BK16)</f>
        <v>6037.94</v>
      </c>
      <c r="BO16" s="2">
        <f>SUM(I16,N16,S16,X16,AC16,AH16,AM16,AR16,AW16,BB16,BG16,BL16)</f>
        <v>1025.1127966349889</v>
      </c>
      <c r="BP16" s="35">
        <f>IF(BM16=0,"",BO16/BM16)</f>
        <v>1.2189212801842912</v>
      </c>
      <c r="BQ16" t="s">
        <v>108</v>
      </c>
    </row>
    <row r="17" spans="1:69" hidden="1" x14ac:dyDescent="0.2">
      <c r="A17" t="s">
        <v>217</v>
      </c>
      <c r="B17" t="s">
        <v>203</v>
      </c>
      <c r="C17" t="s">
        <v>204</v>
      </c>
      <c r="D17" s="80">
        <v>1880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5021</v>
      </c>
      <c r="U17">
        <v>16.7</v>
      </c>
      <c r="V17" s="2">
        <f>U17/$X$1</f>
        <v>2.8353020572917771</v>
      </c>
      <c r="W17" s="2">
        <v>83867.17</v>
      </c>
      <c r="X17" s="2">
        <f>W17/$X$1</f>
        <v>14238.847882649055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f>SUM(E17,J17,O17,T17,Y17,AD17,AI17,AN17,AS17,AX17,BC17,BH17)</f>
        <v>5021</v>
      </c>
      <c r="BN17" s="2">
        <f>SUM(H17,M17,R17,W17,AB17,AG17,AL17,AQ17,AV17,BA17,BF17,BK17)</f>
        <v>83867.17</v>
      </c>
      <c r="BO17" s="2">
        <f>SUM(I17,N17,S17,X17,AC17,AH17,AM17,AR17,AW17,BB17,BG17,BL17)</f>
        <v>14238.847882649055</v>
      </c>
      <c r="BP17" s="35">
        <f>IF(BM17=0,"",BO17/BM17)</f>
        <v>2.8358589688605966</v>
      </c>
      <c r="BQ17" t="s">
        <v>109</v>
      </c>
    </row>
    <row r="18" spans="1:69" hidden="1" x14ac:dyDescent="0.2">
      <c r="A18" t="s">
        <v>217</v>
      </c>
      <c r="B18" t="s">
        <v>209</v>
      </c>
      <c r="C18" t="s">
        <v>210</v>
      </c>
      <c r="D18" s="80">
        <v>1870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50573</v>
      </c>
      <c r="U18">
        <v>11.21</v>
      </c>
      <c r="V18" s="2">
        <f>U18/$X$1</f>
        <v>1.9032177282778939</v>
      </c>
      <c r="W18" s="2">
        <v>566861.63</v>
      </c>
      <c r="X18" s="2">
        <f>W18/$X$1</f>
        <v>96240.954834656906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f>SUM(E18,J18,O18,T18,Y18,AD18,AI18,AN18,AS18,AX18,BC18,BH18)</f>
        <v>50573</v>
      </c>
      <c r="BN18" s="2">
        <f>SUM(H18,M18,R18,W18,AB18,AG18,AL18,AQ18,AV18,BA18,BF18,BK18)</f>
        <v>566861.63</v>
      </c>
      <c r="BO18" s="2">
        <f>SUM(I18,N18,S18,X18,AC18,AH18,AM18,AR18,AW18,BB18,BG18,BL18)</f>
        <v>96240.954834656906</v>
      </c>
      <c r="BP18" s="35">
        <f>IF(BM18=0,"",BO18/BM18)</f>
        <v>1.9030105952713288</v>
      </c>
      <c r="BQ18" t="s">
        <v>108</v>
      </c>
    </row>
    <row r="19" spans="1:69" hidden="1" x14ac:dyDescent="0.2">
      <c r="A19" t="s">
        <v>122</v>
      </c>
      <c r="B19" s="3" t="s">
        <v>68</v>
      </c>
      <c r="C19" s="3" t="s">
        <v>69</v>
      </c>
      <c r="D19" s="79" t="s">
        <v>177</v>
      </c>
      <c r="E19" s="2">
        <v>51051</v>
      </c>
      <c r="F19" s="2">
        <v>14.509954999999996</v>
      </c>
      <c r="G19" s="2">
        <v>2.3118709746000001</v>
      </c>
      <c r="H19" s="2">
        <v>740747.71270500007</v>
      </c>
      <c r="I19" s="2">
        <v>118023.32512378642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f>SUM(E19,J19,O19,T19,Y19,AD19,AI19,AN19,AS19,AX19,BC19,BH19)</f>
        <v>51051</v>
      </c>
      <c r="BN19" s="2">
        <f>SUM(H19,M19,R19,W19,AB19,AG19,AL19,AQ19,AV19,BA19,BF19,BK19)</f>
        <v>740747.71270500007</v>
      </c>
      <c r="BO19" s="2">
        <f>SUM(I19,N19,S19,X19,AC19,AH19,AM19,AR19,AW19,BB19,BG19,BL19)</f>
        <v>118023.32512378642</v>
      </c>
      <c r="BP19" s="35">
        <f>IF(BM19=0,"",BO19/BM19)</f>
        <v>2.3118709745898496</v>
      </c>
      <c r="BQ19" t="s">
        <v>108</v>
      </c>
    </row>
    <row r="20" spans="1:69" hidden="1" x14ac:dyDescent="0.2">
      <c r="A20" t="s">
        <v>122</v>
      </c>
      <c r="B20" s="3" t="s">
        <v>70</v>
      </c>
      <c r="C20" s="3" t="s">
        <v>71</v>
      </c>
      <c r="D20" s="79" t="s">
        <v>177</v>
      </c>
      <c r="E20" s="2">
        <v>24960</v>
      </c>
      <c r="F20" s="2">
        <v>12.399134</v>
      </c>
      <c r="G20" s="2">
        <v>1.9755538872999998</v>
      </c>
      <c r="H20" s="2">
        <v>309482.38463999995</v>
      </c>
      <c r="I20" s="2">
        <v>49309.82502675349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f>SUM(E20,J20,O20,T20,Y20,AD20,AI20,AN20,AS20,AX20,BC20,BH20)</f>
        <v>24960</v>
      </c>
      <c r="BN20" s="2">
        <f>SUM(H20,M20,R20,W20,AB20,AG20,AL20,AQ20,AV20,BA20,BF20,BK20)</f>
        <v>309482.38463999995</v>
      </c>
      <c r="BO20" s="2">
        <f>SUM(I20,N20,S20,X20,AC20,AH20,AM20,AR20,AW20,BB20,BG20,BL20)</f>
        <v>49309.82502675349</v>
      </c>
      <c r="BP20" s="35">
        <f>IF(BM20=0,"",BO20/BM20)</f>
        <v>1.9755538872898033</v>
      </c>
      <c r="BQ20" t="s">
        <v>108</v>
      </c>
    </row>
    <row r="21" spans="1:69" hidden="1" x14ac:dyDescent="0.2">
      <c r="A21" t="s">
        <v>122</v>
      </c>
      <c r="B21" s="2" t="s">
        <v>136</v>
      </c>
      <c r="C21" s="2" t="s">
        <v>137</v>
      </c>
      <c r="D21" s="79">
        <v>2060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2296</v>
      </c>
      <c r="P21" s="2">
        <v>13.91</v>
      </c>
      <c r="Q21" s="2">
        <f>P21/$S$1</f>
        <v>2.3006312539625657</v>
      </c>
      <c r="R21" s="2">
        <v>31939.33</v>
      </c>
      <c r="S21" s="2">
        <f>R21/$S$1</f>
        <v>5282.5751853791653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f>SUM(E21,J21,O21,T21,Y21,AD21,AI21,AN21,AS21,AX21,BC21,BH21)</f>
        <v>2296</v>
      </c>
      <c r="BN21" s="2">
        <f>SUM(H21,M21,R21,W21,AB21,AG21,AL21,AQ21,AV21,BA21,BF21,BK21)</f>
        <v>31939.33</v>
      </c>
      <c r="BO21" s="2">
        <f>SUM(I21,N21,S21,X21,AC21,AH21,AM21,AR21,AW21,BB21,BG21,BL21)</f>
        <v>5282.5751853791653</v>
      </c>
      <c r="BP21" s="35">
        <f>IF(BM21=0,"",BO21/BM21)</f>
        <v>2.3007731643637479</v>
      </c>
      <c r="BQ21" t="s">
        <v>108</v>
      </c>
    </row>
    <row r="22" spans="1:69" x14ac:dyDescent="0.2">
      <c r="A22" t="s">
        <v>122</v>
      </c>
      <c r="B22" s="124" t="s">
        <v>138</v>
      </c>
      <c r="C22" s="2" t="s">
        <v>139</v>
      </c>
      <c r="D22" s="79">
        <v>1870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99116</v>
      </c>
      <c r="P22" s="2">
        <v>12.405000000000001</v>
      </c>
      <c r="Q22" s="2">
        <f>P22/$S$1</f>
        <v>2.0517132067149983</v>
      </c>
      <c r="R22" s="2">
        <v>1229688.1000000001</v>
      </c>
      <c r="S22" s="2">
        <f>R22/$S$1</f>
        <v>203383.09672795434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50006</v>
      </c>
      <c r="Z22" s="2">
        <v>11.93</v>
      </c>
      <c r="AA22" s="2">
        <f>Z22/$AC$1</f>
        <v>2.050324906893251</v>
      </c>
      <c r="AB22" s="2">
        <v>596565.18000000005</v>
      </c>
      <c r="AC22" s="2">
        <f>AB22/$AC$1</f>
        <v>102527.44737127038</v>
      </c>
      <c r="AD22" s="2">
        <v>49574</v>
      </c>
      <c r="AE22" s="2">
        <v>12.094877960221083</v>
      </c>
      <c r="AF22" s="2">
        <f>AE22/$AH$1</f>
        <v>2.049673270453102</v>
      </c>
      <c r="AG22" s="2">
        <v>599591.48</v>
      </c>
      <c r="AH22" s="2">
        <f>AG22/$AH$1</f>
        <v>101610.50270944207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f>SUM(E22,J22,O22,T22,Y22,AD22,AI22,AN22,AS22,AX22,BC22,BH22)</f>
        <v>198696</v>
      </c>
      <c r="BN22" s="2">
        <f>SUM(H22,M22,R22,W22,AB22,AG22,AL22,AQ22,AV22,BA22,BF22,BK22)</f>
        <v>2425844.7600000002</v>
      </c>
      <c r="BO22" s="2">
        <f>SUM(I22,N22,S22,X22,AC22,AH22,AM22,AR22,AW22,BB22,BG22,BL22)</f>
        <v>407521.04680866678</v>
      </c>
      <c r="BP22" s="35">
        <f>IF(BM22=0,"",BO22/BM22)</f>
        <v>2.0509776080478055</v>
      </c>
      <c r="BQ22" t="s">
        <v>108</v>
      </c>
    </row>
    <row r="23" spans="1:69" hidden="1" x14ac:dyDescent="0.2">
      <c r="A23" t="s">
        <v>122</v>
      </c>
      <c r="B23" s="124" t="s">
        <v>140</v>
      </c>
      <c r="C23" s="124" t="s">
        <v>141</v>
      </c>
      <c r="D23" s="128">
        <v>1870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25900</v>
      </c>
      <c r="P23" s="2">
        <v>10.4</v>
      </c>
      <c r="Q23" s="2">
        <f>P23/$S$1</f>
        <v>1.7200981338037875</v>
      </c>
      <c r="R23" s="2">
        <v>269435.21000000002</v>
      </c>
      <c r="S23" s="2">
        <f>R23/$S$1</f>
        <v>44562.980952118422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24590</v>
      </c>
      <c r="Z23" s="2">
        <v>10.08</v>
      </c>
      <c r="AA23" s="2">
        <f>Z23/$AC$1</f>
        <v>1.7323784628234677</v>
      </c>
      <c r="AB23" s="2">
        <v>247785.76</v>
      </c>
      <c r="AC23" s="2">
        <f>AB23/$AC$1</f>
        <v>42585.189882772291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f>SUM(E23,J23,O23,T23,Y23,AD23,AI23,AN23,AS23,AX23,BC23,BH23)</f>
        <v>50490</v>
      </c>
      <c r="BN23" s="2">
        <f>SUM(H23,M23,R23,W23,AB23,AG23,AL23,AQ23,AV23,BA23,BF23,BK23)</f>
        <v>517220.97000000003</v>
      </c>
      <c r="BO23" s="2">
        <f>SUM(I23,N23,S23,X23,AC23,AH23,AM23,AR23,AW23,BB23,BG23,BL23)</f>
        <v>87148.170834890712</v>
      </c>
      <c r="BP23" s="35">
        <f>IF(BM23=0,"",BO23/BM23)</f>
        <v>1.7260481448780098</v>
      </c>
      <c r="BQ23" t="s">
        <v>108</v>
      </c>
    </row>
    <row r="24" spans="1:69" x14ac:dyDescent="0.2">
      <c r="A24" t="s">
        <v>122</v>
      </c>
      <c r="B24" s="123" t="s">
        <v>140</v>
      </c>
      <c r="C24" s="123" t="s">
        <v>141</v>
      </c>
      <c r="D24" s="127">
        <v>2175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10143</v>
      </c>
      <c r="AE24">
        <v>10.94</v>
      </c>
      <c r="AF24" s="2">
        <f>AE24/$AH$1</f>
        <v>1.8539604659514111</v>
      </c>
      <c r="AG24" s="2">
        <v>110982.9</v>
      </c>
      <c r="AH24" s="2">
        <f>AG24/$AH$1</f>
        <v>18807.852741923114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f>SUM(E24,J24,O24,T24,Y24,AD24,AI24,AN24,AS24,AX24,BC24,BH24)</f>
        <v>10143</v>
      </c>
      <c r="BN24" s="2">
        <f>SUM(H24,M24,R24,W24,AB24,AG24,AL24,AQ24,AV24,BA24,BF24,BK24)</f>
        <v>110982.9</v>
      </c>
      <c r="BO24" s="2">
        <f>SUM(I24,N24,S24,X24,AC24,AH24,AM24,AR24,AW24,BB24,BG24,BL24)</f>
        <v>18807.852741923114</v>
      </c>
      <c r="BP24" s="35">
        <f>IF(BM24=0,"",BO24/BM24)</f>
        <v>1.8542692242850354</v>
      </c>
      <c r="BQ24" s="81" t="s">
        <v>108</v>
      </c>
    </row>
    <row r="25" spans="1:69" x14ac:dyDescent="0.2">
      <c r="A25" t="s">
        <v>122</v>
      </c>
      <c r="B25" t="s">
        <v>232</v>
      </c>
      <c r="C25" t="s">
        <v>233</v>
      </c>
      <c r="D25" s="80">
        <v>1870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24967</v>
      </c>
      <c r="AE25">
        <v>11.7</v>
      </c>
      <c r="AF25" s="2">
        <f>AE25/$AH$1</f>
        <v>1.9827547944818564</v>
      </c>
      <c r="AG25" s="2">
        <v>292055.03000000003</v>
      </c>
      <c r="AH25" s="2">
        <f>AG25/$AH$1</f>
        <v>49493.462477354064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f>SUM(E25,J25,O25,T25,Y25,AD25,AI25,AN25,AS25,AX25,BC25,BH25)</f>
        <v>24967</v>
      </c>
      <c r="BN25" s="2">
        <f>SUM(H25,M25,R25,W25,AB25,AG25,AL25,AQ25,AV25,BA25,BF25,BK25)</f>
        <v>292055.03000000003</v>
      </c>
      <c r="BO25" s="2">
        <f>SUM(I25,N25,S25,X25,AC25,AH25,AM25,AR25,AW25,BB25,BG25,BL25)</f>
        <v>49493.462477354064</v>
      </c>
      <c r="BP25" s="35">
        <f>IF(BM25=0,"",BO25/BM25)</f>
        <v>1.9823552079686813</v>
      </c>
      <c r="BQ25" s="81" t="s">
        <v>108</v>
      </c>
    </row>
    <row r="26" spans="1:69" hidden="1" x14ac:dyDescent="0.2">
      <c r="A26" t="s">
        <v>123</v>
      </c>
      <c r="B26" s="2" t="s">
        <v>142</v>
      </c>
      <c r="C26" s="2" t="s">
        <v>143</v>
      </c>
      <c r="D26" s="79">
        <v>1870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60282</v>
      </c>
      <c r="P26" s="2">
        <v>15.552500000000002</v>
      </c>
      <c r="Q26" s="2">
        <f>P26/$S$1</f>
        <v>2.5722909832676351</v>
      </c>
      <c r="R26" s="2">
        <v>937224.37999999989</v>
      </c>
      <c r="S26" s="2">
        <f>R26/$S$1</f>
        <v>155011.33721090495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f>SUM(E26,J26,O26,T26,Y26,AD26,AI26,AN26,AS26,AX26,BC26,BH26)</f>
        <v>60282</v>
      </c>
      <c r="BN26" s="2">
        <f>SUM(H26,M26,R26,W26,AB26,AG26,AL26,AQ26,AV26,BA26,BF26,BK26)</f>
        <v>937224.37999999989</v>
      </c>
      <c r="BO26" s="2">
        <f>SUM(I26,N26,S26,X26,AC26,AH26,AM26,AR26,AW26,BB26,BG26,BL26)</f>
        <v>155011.33721090495</v>
      </c>
      <c r="BP26" s="35">
        <f>IF(BM26=0,"",BO26/BM26)</f>
        <v>2.5714365351332895</v>
      </c>
      <c r="BQ26" t="s">
        <v>108</v>
      </c>
    </row>
    <row r="27" spans="1:69" x14ac:dyDescent="0.2">
      <c r="A27" t="s">
        <v>123</v>
      </c>
      <c r="B27" t="s">
        <v>234</v>
      </c>
      <c r="C27" t="s">
        <v>235</v>
      </c>
      <c r="D27" s="80">
        <v>1870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1034</v>
      </c>
      <c r="AE27">
        <v>12.84</v>
      </c>
      <c r="AF27" s="2">
        <f>AE27/$AH$1</f>
        <v>2.1759462872775246</v>
      </c>
      <c r="AG27" s="2">
        <v>13275.07</v>
      </c>
      <c r="AH27" s="2">
        <f>AG27/$AH$1</f>
        <v>2249.6759563745522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f>SUM(E27,J27,O27,T27,Y27,AD27,AI27,AN27,AS27,AX27,BC27,BH27)</f>
        <v>1034</v>
      </c>
      <c r="BN27" s="2">
        <f>SUM(H27,M27,R27,W27,AB27,AG27,AL27,AQ27,AV27,BA27,BF27,BK27)</f>
        <v>13275.07</v>
      </c>
      <c r="BO27" s="2">
        <f>SUM(I27,N27,S27,X27,AC27,AH27,AM27,AR27,AW27,BB27,BG27,BL27)</f>
        <v>2249.6759563745522</v>
      </c>
      <c r="BP27" s="35">
        <f>IF(BM27=0,"",BO27/BM27)</f>
        <v>2.1757020854686191</v>
      </c>
      <c r="BQ27" s="81" t="s">
        <v>108</v>
      </c>
    </row>
    <row r="28" spans="1:69" hidden="1" x14ac:dyDescent="0.2">
      <c r="A28" t="s">
        <v>124</v>
      </c>
      <c r="B28" s="3" t="s">
        <v>82</v>
      </c>
      <c r="C28" s="3" t="s">
        <v>83</v>
      </c>
      <c r="D28" s="79" t="s">
        <v>180</v>
      </c>
      <c r="E28" s="2">
        <v>30236</v>
      </c>
      <c r="F28" s="2">
        <v>13.899908</v>
      </c>
      <c r="G28" s="2">
        <v>2.2146721926000001</v>
      </c>
      <c r="H28" s="2">
        <v>420277.618288</v>
      </c>
      <c r="I28" s="2">
        <v>66962.828416061893</v>
      </c>
      <c r="J28" s="2">
        <v>15029</v>
      </c>
      <c r="K28" s="2">
        <v>14.103635000000001</v>
      </c>
      <c r="L28" s="2">
        <v>2.2927232557000004</v>
      </c>
      <c r="M28" s="2">
        <v>211963.53041500002</v>
      </c>
      <c r="N28" s="2">
        <v>34457.337809843702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f>SUM(E28,J28,O28,T28,Y28,AD28,AI28,AN28,AS28,AX28,BC28,BH28)</f>
        <v>45265</v>
      </c>
      <c r="BN28" s="2">
        <f>SUM(H28,M28,R28,W28,AB28,AG28,AL28,AQ28,AV28,BA28,BF28,BK28)</f>
        <v>632241.14870300004</v>
      </c>
      <c r="BO28" s="2">
        <f>SUM(I28,N28,S28,X28,AC28,AH28,AM28,AR28,AW28,BB28,BG28,BL28)</f>
        <v>101420.16622590559</v>
      </c>
      <c r="BP28" s="35">
        <f>IF(BM28=0,"",BO28/BM28)</f>
        <v>2.2405869043611086</v>
      </c>
      <c r="BQ28" t="s">
        <v>109</v>
      </c>
    </row>
    <row r="29" spans="1:69" hidden="1" x14ac:dyDescent="0.2">
      <c r="A29" t="s">
        <v>124</v>
      </c>
      <c r="B29" s="3" t="s">
        <v>84</v>
      </c>
      <c r="C29" s="3" t="s">
        <v>85</v>
      </c>
      <c r="D29" s="79" t="s">
        <v>180</v>
      </c>
      <c r="E29" s="2">
        <v>14324</v>
      </c>
      <c r="F29" s="2">
        <v>12.363746000000001</v>
      </c>
      <c r="G29" s="2">
        <v>1.9699155175999998</v>
      </c>
      <c r="H29" s="2">
        <v>177098.29770400003</v>
      </c>
      <c r="I29" s="2">
        <v>28217.069874520599</v>
      </c>
      <c r="J29" s="2">
        <v>30382</v>
      </c>
      <c r="K29" s="2">
        <v>12.468438999999998</v>
      </c>
      <c r="L29" s="2">
        <v>2.0269015794999996</v>
      </c>
      <c r="M29" s="2">
        <v>378816.11369800009</v>
      </c>
      <c r="N29" s="2">
        <v>61581.323786917012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f>SUM(E29,J29,O29,T29,Y29,AD29,AI29,AN29,AS29,AX29,BC29,BH29)</f>
        <v>44706</v>
      </c>
      <c r="BN29" s="2">
        <f>SUM(H29,M29,R29,W29,AB29,AG29,AL29,AQ29,AV29,BA29,BF29,BK29)</f>
        <v>555914.41140200011</v>
      </c>
      <c r="BO29" s="2">
        <f>SUM(I29,N29,S29,X29,AC29,AH29,AM29,AR29,AW29,BB29,BG29,BL29)</f>
        <v>89798.393661437614</v>
      </c>
      <c r="BP29" s="35">
        <f>IF(BM29=0,"",BO29/BM29)</f>
        <v>2.0086429933663852</v>
      </c>
      <c r="BQ29" t="s">
        <v>109</v>
      </c>
    </row>
    <row r="30" spans="1:69" hidden="1" x14ac:dyDescent="0.2">
      <c r="A30" t="s">
        <v>124</v>
      </c>
      <c r="B30" s="3" t="s">
        <v>86</v>
      </c>
      <c r="C30" s="3" t="s">
        <v>87</v>
      </c>
      <c r="D30" s="79" t="s">
        <v>180</v>
      </c>
      <c r="E30" s="2">
        <v>26786</v>
      </c>
      <c r="F30" s="2">
        <v>18.913533999999999</v>
      </c>
      <c r="G30" s="2">
        <v>3.0134931693999998</v>
      </c>
      <c r="H30" s="2">
        <v>506617.92172400001</v>
      </c>
      <c r="I30" s="2">
        <v>80719.428036871803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f>SUM(E30,J30,O30,T30,Y30,AD30,AI30,AN30,AS30,AX30,BC30,BH30)</f>
        <v>26786</v>
      </c>
      <c r="BN30" s="2">
        <f>SUM(H30,M30,R30,W30,AB30,AG30,AL30,AQ30,AV30,BA30,BF30,BK30)</f>
        <v>506617.92172400001</v>
      </c>
      <c r="BO30" s="2">
        <f>SUM(I30,N30,S30,X30,AC30,AH30,AM30,AR30,AW30,BB30,BG30,BL30)</f>
        <v>80719.428036871803</v>
      </c>
      <c r="BP30" s="35">
        <f>IF(BM30=0,"",BO30/BM30)</f>
        <v>3.0134931694494065</v>
      </c>
      <c r="BQ30" t="s">
        <v>109</v>
      </c>
    </row>
    <row r="31" spans="1:69" hidden="1" x14ac:dyDescent="0.2">
      <c r="A31" t="s">
        <v>124</v>
      </c>
      <c r="B31" s="2" t="s">
        <v>144</v>
      </c>
      <c r="C31" s="2" t="s">
        <v>145</v>
      </c>
      <c r="D31" s="79">
        <v>1900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53054</v>
      </c>
      <c r="P31" s="2">
        <v>24.835000000000001</v>
      </c>
      <c r="Q31" s="2">
        <f>P31/$S$1</f>
        <v>4.107561264713179</v>
      </c>
      <c r="R31" s="2">
        <v>1316695.1600000001</v>
      </c>
      <c r="S31" s="2">
        <f>R31/$S$1</f>
        <v>217773.54687543071</v>
      </c>
      <c r="T31" s="2">
        <v>23950</v>
      </c>
      <c r="U31">
        <v>25.25</v>
      </c>
      <c r="V31" s="2">
        <f>U31/$X$1</f>
        <v>4.2869087991986454</v>
      </c>
      <c r="W31" s="2">
        <v>604696.79</v>
      </c>
      <c r="X31" s="2">
        <f>W31/$X$1</f>
        <v>102664.55405537329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f>SUM(E31,J31,O31,T31,Y31,AD31,AI31,AN31,AS31,AX31,BC31,BH31)</f>
        <v>77004</v>
      </c>
      <c r="BN31" s="2">
        <f>SUM(H31,M31,R31,W31,AB31,AG31,AL31,AQ31,AV31,BA31,BF31,BK31)</f>
        <v>1921391.9500000002</v>
      </c>
      <c r="BO31" s="2">
        <f>SUM(I31,N31,S31,X31,AC31,AH31,AM31,AR31,AW31,BB31,BG31,BL31)</f>
        <v>320438.10093080398</v>
      </c>
      <c r="BP31" s="35">
        <f>IF(BM31=0,"",BO31/BM31)</f>
        <v>4.1613176059789616</v>
      </c>
      <c r="BQ31" t="s">
        <v>109</v>
      </c>
    </row>
    <row r="32" spans="1:69" x14ac:dyDescent="0.2">
      <c r="A32" t="s">
        <v>124</v>
      </c>
      <c r="B32" s="124" t="s">
        <v>146</v>
      </c>
      <c r="C32" s="2" t="s">
        <v>147</v>
      </c>
      <c r="D32" s="79">
        <v>1900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14794</v>
      </c>
      <c r="P32" s="2">
        <v>18.64</v>
      </c>
      <c r="Q32" s="2">
        <f>P32/$S$1</f>
        <v>3.0829451167406345</v>
      </c>
      <c r="R32" s="2">
        <v>275742.7</v>
      </c>
      <c r="S32" s="2">
        <f>R32/$S$1</f>
        <v>45606.202276924771</v>
      </c>
      <c r="T32" s="2">
        <v>30646</v>
      </c>
      <c r="U32">
        <v>18.64</v>
      </c>
      <c r="V32" s="2">
        <f>U32/$X$1</f>
        <v>3.1646724759232772</v>
      </c>
      <c r="W32" s="2">
        <v>571205.28</v>
      </c>
      <c r="X32" s="2">
        <f>W32/$X$1</f>
        <v>96978.413504187178</v>
      </c>
      <c r="Y32" s="2">
        <v>15407</v>
      </c>
      <c r="Z32" s="2">
        <v>18.64</v>
      </c>
      <c r="AA32" s="2">
        <f>Z32/$AC$1</f>
        <v>3.2035252526814921</v>
      </c>
      <c r="AB32" s="2">
        <v>287168.3</v>
      </c>
      <c r="AC32" s="2">
        <f>AB32/$AC$1</f>
        <v>49353.589099764722</v>
      </c>
      <c r="AD32" s="2">
        <v>12201</v>
      </c>
      <c r="AE32" s="2">
        <v>18.64</v>
      </c>
      <c r="AF32" s="2">
        <v>3.1588503734309237</v>
      </c>
      <c r="AG32" s="2">
        <v>227412.24</v>
      </c>
      <c r="AH32" s="2">
        <v>38538.693092637492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f>SUM(E32,J32,O32,T32,Y32,AD32,AI32,AN32,AS32,AX32,BC32,BH32)</f>
        <v>73048</v>
      </c>
      <c r="BN32" s="2">
        <f>SUM(H32,M32,R32,W32,AB32,AG32,AL32,AQ32,AV32,BA32,BF32,BK32)</f>
        <v>1361528.52</v>
      </c>
      <c r="BO32" s="2">
        <f>SUM(I32,N32,S32,X32,AC32,AH32,AM32,AR32,AW32,BB32,BG32,BL32)</f>
        <v>230476.89797351413</v>
      </c>
      <c r="BP32" s="35">
        <f>IF(BM32=0,"",BO32/BM32)</f>
        <v>3.1551431657747528</v>
      </c>
      <c r="BQ32" t="s">
        <v>109</v>
      </c>
    </row>
    <row r="33" spans="1:70" hidden="1" x14ac:dyDescent="0.2">
      <c r="A33" t="s">
        <v>124</v>
      </c>
      <c r="B33" s="124" t="s">
        <v>148</v>
      </c>
      <c r="C33" s="2" t="s">
        <v>149</v>
      </c>
      <c r="D33" s="79">
        <v>1900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15704</v>
      </c>
      <c r="P33" s="2">
        <v>16.25</v>
      </c>
      <c r="Q33" s="2">
        <f>P33/$S$1</f>
        <v>2.6876533340684179</v>
      </c>
      <c r="R33" s="2">
        <v>255250.93</v>
      </c>
      <c r="S33" s="2">
        <f>R33/$S$1</f>
        <v>42216.985417757802</v>
      </c>
      <c r="T33" s="2">
        <v>16069</v>
      </c>
      <c r="U33">
        <v>16.25</v>
      </c>
      <c r="V33" s="2">
        <f>U33/$X$1</f>
        <v>2.7589017024545739</v>
      </c>
      <c r="W33" s="2">
        <v>261183.6</v>
      </c>
      <c r="X33" s="2">
        <f>W33/$X$1</f>
        <v>44343.377150351655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f>SUM(E33,J33,O33,T33,Y33,AD33,AI33,AN33,AS33,AX33,BC33,BH33)</f>
        <v>31773</v>
      </c>
      <c r="BN33" s="2">
        <f>SUM(H33,M33,R33,W33,AB33,AG33,AL33,AQ33,AV33,BA33,BF33,BK33)</f>
        <v>516434.53</v>
      </c>
      <c r="BO33" s="2">
        <f>SUM(I33,N33,S33,X33,AC33,AH33,AM33,AR33,AW33,BB33,BG33,BL33)</f>
        <v>86560.362568109456</v>
      </c>
      <c r="BP33" s="35">
        <f>IF(BM33=0,"",BO33/BM33)</f>
        <v>2.724337096531944</v>
      </c>
      <c r="BQ33" t="s">
        <v>109</v>
      </c>
    </row>
    <row r="34" spans="1:70" x14ac:dyDescent="0.2">
      <c r="A34" t="s">
        <v>124</v>
      </c>
      <c r="B34" s="124" t="s">
        <v>150</v>
      </c>
      <c r="C34" s="2" t="s">
        <v>151</v>
      </c>
      <c r="D34" s="79">
        <v>1900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12744</v>
      </c>
      <c r="P34" s="2">
        <v>22.08</v>
      </c>
      <c r="Q34" s="2">
        <f>P34/$S$1</f>
        <v>3.6519006533065022</v>
      </c>
      <c r="R34" s="2">
        <v>281352.98</v>
      </c>
      <c r="S34" s="2">
        <f>R34/$S$1</f>
        <v>46534.109215205222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12000</v>
      </c>
      <c r="AE34" s="2">
        <v>22.08</v>
      </c>
      <c r="AF34" s="2">
        <v>3.7418141762529395</v>
      </c>
      <c r="AG34" s="2">
        <v>264927.48</v>
      </c>
      <c r="AH34" s="2">
        <v>44896.259073503941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f>SUM(E34,J34,O34,T34,Y34,AD34,AI34,AN34,AS34,AX34,BC34,BH34)</f>
        <v>24744</v>
      </c>
      <c r="BN34" s="2">
        <f>SUM(H34,M34,R34,W34,AB34,AG34,AL34,AQ34,AV34,BA34,BF34,BK34)</f>
        <v>546280.46</v>
      </c>
      <c r="BO34" s="2">
        <f>SUM(I34,N34,S34,X34,AC34,AH34,AM34,AR34,AW34,BB34,BG34,BL34)</f>
        <v>91430.368288709171</v>
      </c>
      <c r="BP34" s="35">
        <f>IF(BM34=0,"",BO34/BM34)</f>
        <v>3.6950520646908007</v>
      </c>
      <c r="BQ34" t="s">
        <v>109</v>
      </c>
    </row>
    <row r="35" spans="1:70" hidden="1" x14ac:dyDescent="0.2">
      <c r="A35" t="s">
        <v>225</v>
      </c>
      <c r="B35" t="s">
        <v>221</v>
      </c>
      <c r="C35" t="s">
        <v>222</v>
      </c>
      <c r="D35" s="80">
        <v>1870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f>U35/$X$1</f>
        <v>0</v>
      </c>
      <c r="W35" s="2">
        <v>0</v>
      </c>
      <c r="X35" s="2">
        <f>W35/$X$1</f>
        <v>0</v>
      </c>
      <c r="Y35" s="2">
        <v>25408</v>
      </c>
      <c r="Z35" s="2">
        <v>13.01</v>
      </c>
      <c r="AA35" s="2">
        <f>Z35/$AC$1</f>
        <v>2.235936885052908</v>
      </c>
      <c r="AB35" s="2">
        <v>330610.17</v>
      </c>
      <c r="AC35" s="2">
        <f>AB35/$AC$1</f>
        <v>56819.636716111636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f>SUM(E35,J35,O35,T35,Y35,AD35,AI35,AN35,AS35,AX35,BC35,BH35)</f>
        <v>25408</v>
      </c>
      <c r="BN35" s="2">
        <f>SUM(H35,M35,R35,W35,AB35,AG35,AL35,AQ35,AV35,BA35,BF35,BK35)</f>
        <v>330610.17</v>
      </c>
      <c r="BO35" s="2">
        <f>SUM(I35,N35,S35,X35,AC35,AH35,AM35,AR35,AW35,BB35,BG35,BL35)</f>
        <v>56819.636716111636</v>
      </c>
      <c r="BP35" s="35">
        <f>IF(BM35=0,"",BO35/BM35)</f>
        <v>2.2362892284363838</v>
      </c>
      <c r="BQ35" t="s">
        <v>108</v>
      </c>
    </row>
    <row r="36" spans="1:70" hidden="1" x14ac:dyDescent="0.2">
      <c r="A36" t="s">
        <v>225</v>
      </c>
      <c r="B36" t="s">
        <v>221</v>
      </c>
      <c r="C36" t="s">
        <v>222</v>
      </c>
      <c r="D36" s="80">
        <v>2175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f>U36/$X$1</f>
        <v>0</v>
      </c>
      <c r="W36" s="2">
        <v>0</v>
      </c>
      <c r="X36" s="2">
        <f>W36/$X$1</f>
        <v>0</v>
      </c>
      <c r="Y36" s="2">
        <v>10854</v>
      </c>
      <c r="Z36" s="2">
        <v>13.01</v>
      </c>
      <c r="AA36" s="2">
        <f>Z36/$AC$1</f>
        <v>2.235936885052908</v>
      </c>
      <c r="AB36" s="2">
        <v>141232.79</v>
      </c>
      <c r="AC36" s="2">
        <f>AB36/$AC$1</f>
        <v>24272.682900840242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f>SUM(E36,J36,O36,T36,Y36,AD36,AI36,AN36,AS36,AX36,BC36,BH36)</f>
        <v>10854</v>
      </c>
      <c r="BN36" s="2">
        <f>SUM(H36,M36,R36,W36,AB36,AG36,AL36,AQ36,AV36,BA36,BF36,BK36)</f>
        <v>141232.79</v>
      </c>
      <c r="BO36" s="2">
        <f>SUM(I36,N36,S36,X36,AC36,AH36,AM36,AR36,AW36,BB36,BG36,BL36)</f>
        <v>24272.682900840242</v>
      </c>
      <c r="BP36" s="35">
        <f>IF(BM36=0,"",BO36/BM36)</f>
        <v>2.2362891930016806</v>
      </c>
      <c r="BQ36" t="s">
        <v>108</v>
      </c>
    </row>
    <row r="37" spans="1:70" x14ac:dyDescent="0.2">
      <c r="A37" t="s">
        <v>186</v>
      </c>
      <c r="B37" s="88" t="s">
        <v>154</v>
      </c>
      <c r="C37" t="s">
        <v>155</v>
      </c>
      <c r="D37" s="80">
        <v>1880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38638</v>
      </c>
      <c r="P37" s="2">
        <v>16.09</v>
      </c>
      <c r="Q37" s="2">
        <f>P37/$S$1</f>
        <v>2.6611902858560517</v>
      </c>
      <c r="R37" s="2">
        <v>621616.34000000008</v>
      </c>
      <c r="S37" s="2">
        <f>R37/$S$1</f>
        <v>102811.64484384046</v>
      </c>
      <c r="T37" s="2">
        <v>95470</v>
      </c>
      <c r="U37">
        <v>15.62</v>
      </c>
      <c r="V37" s="2">
        <f>U37/$X$1</f>
        <v>2.6519412056824887</v>
      </c>
      <c r="W37" s="2">
        <v>1491347.94</v>
      </c>
      <c r="X37" s="2">
        <f>W37/$X$1</f>
        <v>253198.91511496133</v>
      </c>
      <c r="Y37" s="2">
        <v>48397</v>
      </c>
      <c r="Z37" s="2">
        <v>15.06</v>
      </c>
      <c r="AA37" s="2">
        <f>Z37/$AC$1</f>
        <v>2.588255917670776</v>
      </c>
      <c r="AB37" s="2">
        <v>729092.67</v>
      </c>
      <c r="AC37" s="2">
        <f>AB37/$AC$1</f>
        <v>125304.01179667241</v>
      </c>
      <c r="AD37" s="2">
        <v>24241</v>
      </c>
      <c r="AE37" s="2">
        <v>15.501769728971578</v>
      </c>
      <c r="AF37" s="2">
        <f>AE37/$AH$1</f>
        <v>2.6270263464164194</v>
      </c>
      <c r="AG37" s="2">
        <v>375778.4</v>
      </c>
      <c r="AH37" s="2">
        <f>AG37/$AH$1</f>
        <v>63681.745663480426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f>SUM(E37,J37,O37,T37,Y37,AD37,AI37,AN37,AS37,AX37,BC37,BH37)</f>
        <v>206746</v>
      </c>
      <c r="BN37" s="2">
        <f>SUM(H37,M37,R37,W37,AB37,AG37,AL37,AQ37,AV37,BA37,BF37,BK37)</f>
        <v>3217835.35</v>
      </c>
      <c r="BO37" s="2">
        <f>SUM(I37,N37,S37,X37,AC37,AH37,AM37,AR37,AW37,BB37,BG37,BL37)</f>
        <v>544996.31741895457</v>
      </c>
      <c r="BP37" s="35">
        <f>IF(BM37=0,"",BO37/BM37)</f>
        <v>2.6360670456451616</v>
      </c>
      <c r="BQ37" t="s">
        <v>109</v>
      </c>
    </row>
    <row r="38" spans="1:70" hidden="1" x14ac:dyDescent="0.2">
      <c r="A38" t="s">
        <v>186</v>
      </c>
      <c r="B38" s="3" t="s">
        <v>60</v>
      </c>
      <c r="C38" s="3" t="s">
        <v>61</v>
      </c>
      <c r="D38" s="79" t="s">
        <v>179</v>
      </c>
      <c r="E38" s="2">
        <v>46994</v>
      </c>
      <c r="F38" s="2">
        <v>20.444538000000001</v>
      </c>
      <c r="G38" s="2">
        <v>3.2574280204000003</v>
      </c>
      <c r="H38" s="2">
        <v>960770.61877199984</v>
      </c>
      <c r="I38" s="2">
        <v>153079.57238859232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f>SUM(E38,J38,O38,T38,Y38,AD38,AI38,AN38,AS38,AX38,BC38,BH38)</f>
        <v>46994</v>
      </c>
      <c r="BN38" s="2">
        <f>SUM(H38,M38,R38,W38,AB38,AG38,AL38,AQ38,AV38,BA38,BF38,BK38)</f>
        <v>960770.61877199984</v>
      </c>
      <c r="BO38" s="2">
        <f>SUM(I38,N38,S38,X38,AC38,AH38,AM38,AR38,AW38,BB38,BG38,BL38)</f>
        <v>153079.57238859232</v>
      </c>
      <c r="BP38" s="35">
        <f>IF(BM38=0,"",BO38/BM38)</f>
        <v>3.2574280203556265</v>
      </c>
      <c r="BQ38" t="s">
        <v>109</v>
      </c>
    </row>
    <row r="39" spans="1:70" hidden="1" x14ac:dyDescent="0.2">
      <c r="A39" t="s">
        <v>186</v>
      </c>
      <c r="B39" s="2" t="s">
        <v>152</v>
      </c>
      <c r="C39" s="2" t="s">
        <v>153</v>
      </c>
      <c r="D39" s="79">
        <v>1880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9768</v>
      </c>
      <c r="P39" s="2">
        <v>17.78</v>
      </c>
      <c r="Q39" s="2">
        <f>P39/$S$1</f>
        <v>2.9407062325991675</v>
      </c>
      <c r="R39" s="2">
        <v>173691.72</v>
      </c>
      <c r="S39" s="2">
        <f>R39/$S$1</f>
        <v>28727.577252804804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f>SUM(E39,J39,O39,T39,Y39,AD39,AI39,AN39,AS39,AX39,BC39,BH39)</f>
        <v>9768</v>
      </c>
      <c r="BN39" s="2">
        <f>SUM(H39,M39,R39,W39,AB39,AG39,AL39,AQ39,AV39,BA39,BF39,BK39)</f>
        <v>173691.72</v>
      </c>
      <c r="BO39" s="2">
        <f>SUM(I39,N39,S39,X39,AC39,AH39,AM39,AR39,AW39,BB39,BG39,BL39)</f>
        <v>28727.577252804804</v>
      </c>
      <c r="BP39" s="35">
        <f>IF(BM39=0,"",BO39/BM39)</f>
        <v>2.9409886622445542</v>
      </c>
      <c r="BQ39" t="s">
        <v>109</v>
      </c>
    </row>
    <row r="40" spans="1:70" x14ac:dyDescent="0.2">
      <c r="A40" s="123" t="s">
        <v>186</v>
      </c>
      <c r="B40" t="s">
        <v>226</v>
      </c>
      <c r="C40" t="s">
        <v>227</v>
      </c>
      <c r="D40" s="80">
        <v>1860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122">
        <v>818</v>
      </c>
      <c r="AE40">
        <v>16.37</v>
      </c>
      <c r="AF40" s="2">
        <f>AE40/$AH$1</f>
        <v>2.7741620500570936</v>
      </c>
      <c r="AG40" s="2">
        <v>13390.09</v>
      </c>
      <c r="AH40" s="2">
        <f>AG40/$AH$1</f>
        <v>2269.1679612003045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f>SUM(E40,J40,O40,T40,Y40,AD40,AI40,AN40,AS40,AX40,BC40,BH40)</f>
        <v>818</v>
      </c>
      <c r="BN40" s="2">
        <f>SUM(H40,M40,R40,W40,AB40,AG40,AL40,AQ40,AV40,BA40,BF40,BK40)</f>
        <v>13390.09</v>
      </c>
      <c r="BO40" s="2">
        <f>SUM(I40,N40,S40,X40,AC40,AH40,AM40,AR40,AW40,BB40,BG40,BL40)</f>
        <v>2269.1679612003045</v>
      </c>
      <c r="BP40" s="35">
        <f>IF(BM40=0,"",BO40/BM40)</f>
        <v>2.7740439623475606</v>
      </c>
      <c r="BQ40" s="81" t="s">
        <v>107</v>
      </c>
      <c r="BR40" s="81" t="s">
        <v>111</v>
      </c>
    </row>
    <row r="41" spans="1:70" hidden="1" x14ac:dyDescent="0.2">
      <c r="A41" t="s">
        <v>125</v>
      </c>
      <c r="B41" s="3" t="s">
        <v>72</v>
      </c>
      <c r="C41" s="3" t="s">
        <v>73</v>
      </c>
      <c r="D41" s="79" t="s">
        <v>181</v>
      </c>
      <c r="E41" s="2">
        <v>24709</v>
      </c>
      <c r="F41" s="2">
        <v>13.297212999999999</v>
      </c>
      <c r="G41" s="2">
        <v>2.1186448046999997</v>
      </c>
      <c r="H41" s="2">
        <v>328560.83601700002</v>
      </c>
      <c r="I41" s="2">
        <v>52349.59448011229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f>SUM(E41,J41,O41,T41,Y41,AD41,AI41,AN41,AS41,AX41,BC41,BH41)</f>
        <v>24709</v>
      </c>
      <c r="BN41" s="2">
        <f>SUM(H41,M41,R41,W41,AB41,AG41,AL41,AQ41,AV41,BA41,BF41,BK41)</f>
        <v>328560.83601700002</v>
      </c>
      <c r="BO41" s="2">
        <f>SUM(I41,N41,S41,X41,AC41,AH41,AM41,AR41,AW41,BB41,BG41,BL41)</f>
        <v>52349.59448011229</v>
      </c>
      <c r="BP41" s="35">
        <f>IF(BM41=0,"",BO41/BM41)</f>
        <v>2.1186448047315669</v>
      </c>
      <c r="BQ41" t="s">
        <v>108</v>
      </c>
    </row>
    <row r="42" spans="1:70" x14ac:dyDescent="0.2">
      <c r="A42" t="s">
        <v>125</v>
      </c>
      <c r="B42" s="124" t="s">
        <v>156</v>
      </c>
      <c r="C42" s="2" t="s">
        <v>157</v>
      </c>
      <c r="D42" s="79">
        <v>1860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49744</v>
      </c>
      <c r="P42" s="2">
        <v>10.83</v>
      </c>
      <c r="Q42" s="2">
        <f>P42/$S$1</f>
        <v>1.791217575874521</v>
      </c>
      <c r="R42" s="2">
        <v>538542.38</v>
      </c>
      <c r="S42" s="2">
        <f>R42/$S$1</f>
        <v>89071.706039639437</v>
      </c>
      <c r="T42" s="2">
        <v>48774</v>
      </c>
      <c r="U42">
        <v>10.55</v>
      </c>
      <c r="V42" s="2">
        <f>U42/$X$1</f>
        <v>1.7911638745166618</v>
      </c>
      <c r="W42" s="2">
        <v>514429.95999999996</v>
      </c>
      <c r="X42" s="2">
        <f>W42/$X$1</f>
        <v>87339.181073085434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73837</v>
      </c>
      <c r="AE42" s="2">
        <v>10.647995449435919</v>
      </c>
      <c r="AF42" s="2">
        <f>AE42/$AH$1</f>
        <v>1.8044755580333385</v>
      </c>
      <c r="AG42" s="2">
        <v>786216.04</v>
      </c>
      <c r="AH42" s="2">
        <f>AG42/$AH$1</f>
        <v>133237.06177850763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f>SUM(E42,J42,O42,T42,Y42,AD42,AI42,AN42,AS42,AX42,BC42,BH42)</f>
        <v>172355</v>
      </c>
      <c r="BN42" s="2">
        <f>SUM(H42,M42,R42,W42,AB42,AG42,AL42,AQ42,AV42,BA42,BF42,BK42)</f>
        <v>1839188.38</v>
      </c>
      <c r="BO42" s="2">
        <f>SUM(I42,N42,S42,X42,AC42,AH42,AM42,AR42,AW42,BB42,BG42,BL42)</f>
        <v>309647.94889123249</v>
      </c>
      <c r="BP42" s="35">
        <f>IF(BM42=0,"",BO42/BM42)</f>
        <v>1.796570734189507</v>
      </c>
      <c r="BQ42" t="s">
        <v>108</v>
      </c>
    </row>
    <row r="43" spans="1:70" x14ac:dyDescent="0.2">
      <c r="A43" t="s">
        <v>125</v>
      </c>
      <c r="B43" s="124" t="s">
        <v>158</v>
      </c>
      <c r="C43" s="2" t="s">
        <v>159</v>
      </c>
      <c r="D43" s="79">
        <v>1870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24477</v>
      </c>
      <c r="P43" s="2">
        <v>11.03</v>
      </c>
      <c r="Q43" s="2">
        <f>P43/$S$1</f>
        <v>1.8242963861399784</v>
      </c>
      <c r="R43" s="2">
        <v>270090.96999999997</v>
      </c>
      <c r="S43" s="2">
        <f>R43/$S$1</f>
        <v>44671.439755216794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25088</v>
      </c>
      <c r="AE43">
        <v>10.87</v>
      </c>
      <c r="AF43" s="2">
        <f>AE43/$AH$1</f>
        <v>1.84209783042887</v>
      </c>
      <c r="AG43" s="2">
        <v>272816.95</v>
      </c>
      <c r="AH43" s="2">
        <f>AG43/$AH$1</f>
        <v>46233.257746018542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f>SUM(E43,J43,O43,T43,Y43,AD43,AI43,AN43,AS43,AX43,BC43,BH43)</f>
        <v>49565</v>
      </c>
      <c r="BN43" s="2">
        <f>SUM(H43,M43,R43,W43,AB43,AG43,AL43,AQ43,AV43,BA43,BF43,BK43)</f>
        <v>542907.91999999993</v>
      </c>
      <c r="BO43" s="2">
        <f>SUM(I43,N43,S43,X43,AC43,AH43,AM43,AR43,AW43,BB43,BG43,BL43)</f>
        <v>90904.697501235336</v>
      </c>
      <c r="BP43" s="35">
        <f>IF(BM43=0,"",BO43/BM43)</f>
        <v>1.834050186648549</v>
      </c>
      <c r="BQ43" t="s">
        <v>108</v>
      </c>
    </row>
    <row r="44" spans="1:70" hidden="1" x14ac:dyDescent="0.2">
      <c r="A44" t="s">
        <v>126</v>
      </c>
      <c r="B44" s="3" t="s">
        <v>74</v>
      </c>
      <c r="C44" s="3" t="s">
        <v>75</v>
      </c>
      <c r="D44" s="79" t="s">
        <v>177</v>
      </c>
      <c r="E44" s="2">
        <v>25502</v>
      </c>
      <c r="F44" s="2">
        <v>17.509916999999998</v>
      </c>
      <c r="G44" s="2">
        <v>2.7898548878999998</v>
      </c>
      <c r="H44" s="2">
        <v>446537.90333399997</v>
      </c>
      <c r="I44" s="2">
        <v>71146.8793509065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f>SUM(E44,J44,O44,T44,Y44,AD44,AI44,AN44,AS44,AX44,BC44,BH44)</f>
        <v>25502</v>
      </c>
      <c r="BN44" s="2">
        <f>SUM(H44,M44,R44,W44,AB44,AG44,AL44,AQ44,AV44,BA44,BF44,BK44)</f>
        <v>446537.90333399997</v>
      </c>
      <c r="BO44" s="2">
        <f>SUM(I44,N44,S44,X44,AC44,AH44,AM44,AR44,AW44,BB44,BG44,BL44)</f>
        <v>71146.8793509065</v>
      </c>
      <c r="BP44" s="35">
        <f>IF(BM44=0,"",BO44/BM44)</f>
        <v>2.7898548878874796</v>
      </c>
      <c r="BQ44" t="s">
        <v>107</v>
      </c>
      <c r="BR44" t="s">
        <v>111</v>
      </c>
    </row>
    <row r="45" spans="1:70" hidden="1" x14ac:dyDescent="0.2">
      <c r="A45" t="s">
        <v>126</v>
      </c>
      <c r="B45" s="3" t="s">
        <v>76</v>
      </c>
      <c r="C45" s="3" t="s">
        <v>77</v>
      </c>
      <c r="D45" s="79" t="s">
        <v>178</v>
      </c>
      <c r="E45" s="2">
        <v>4352</v>
      </c>
      <c r="F45" s="2">
        <v>18.358611000000003</v>
      </c>
      <c r="G45" s="2">
        <v>2.9250772938000003</v>
      </c>
      <c r="H45" s="2">
        <v>79896.675071999998</v>
      </c>
      <c r="I45" s="2">
        <v>12729.9363826554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f>SUM(E45,J45,O45,T45,Y45,AD45,AI45,AN45,AS45,AX45,BC45,BH45)</f>
        <v>4352</v>
      </c>
      <c r="BN45" s="2">
        <f>SUM(H45,M45,R45,W45,AB45,AG45,AL45,AQ45,AV45,BA45,BF45,BK45)</f>
        <v>79896.675071999998</v>
      </c>
      <c r="BO45" s="2">
        <f>SUM(I45,N45,S45,X45,AC45,AH45,AM45,AR45,AW45,BB45,BG45,BL45)</f>
        <v>12729.9363826554</v>
      </c>
      <c r="BP45" s="35">
        <f>IF(BM45=0,"",BO45/BM45)</f>
        <v>2.9250772938086858</v>
      </c>
      <c r="BQ45" t="s">
        <v>107</v>
      </c>
      <c r="BR45" t="s">
        <v>111</v>
      </c>
    </row>
    <row r="46" spans="1:70" hidden="1" x14ac:dyDescent="0.2">
      <c r="A46" t="s">
        <v>126</v>
      </c>
      <c r="B46" s="3" t="s">
        <v>78</v>
      </c>
      <c r="C46" s="3" t="s">
        <v>79</v>
      </c>
      <c r="D46" s="79" t="s">
        <v>177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63281</v>
      </c>
      <c r="K46" s="2">
        <v>14.109731999999999</v>
      </c>
      <c r="L46" s="2">
        <v>2.2937143996999998</v>
      </c>
      <c r="M46" s="2">
        <v>892877.9506920001</v>
      </c>
      <c r="N46" s="2">
        <v>145148.5409292749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f>SUM(E46,J46,O46,T46,Y46,AD46,AI46,AN46,AS46,AX46,BC46,BH46)</f>
        <v>63281</v>
      </c>
      <c r="BN46" s="2">
        <f>SUM(H46,M46,R46,W46,AB46,AG46,AL46,AQ46,AV46,BA46,BF46,BK46)</f>
        <v>892877.9506920001</v>
      </c>
      <c r="BO46" s="2">
        <f>SUM(I46,N46,S46,X46,AC46,AH46,AM46,AR46,AW46,BB46,BG46,BL46)</f>
        <v>145148.5409292749</v>
      </c>
      <c r="BP46" s="35">
        <f>IF(BM46=0,"",BO46/BM46)</f>
        <v>2.2937143997293798</v>
      </c>
      <c r="BQ46" t="s">
        <v>108</v>
      </c>
    </row>
    <row r="47" spans="1:70" hidden="1" x14ac:dyDescent="0.2">
      <c r="A47" t="s">
        <v>126</v>
      </c>
      <c r="B47" s="3" t="s">
        <v>80</v>
      </c>
      <c r="C47" s="3" t="s">
        <v>81</v>
      </c>
      <c r="D47" s="79" t="s">
        <v>178</v>
      </c>
      <c r="E47" s="2">
        <v>47661</v>
      </c>
      <c r="F47" s="2">
        <v>14.004961</v>
      </c>
      <c r="G47" s="2">
        <v>2.231410286</v>
      </c>
      <c r="H47" s="2">
        <v>667490.44622099993</v>
      </c>
      <c r="I47" s="2">
        <v>106351.24564027642</v>
      </c>
      <c r="J47" s="2">
        <v>88689</v>
      </c>
      <c r="K47" s="2">
        <v>14.098052999999998</v>
      </c>
      <c r="L47" s="2">
        <v>2.2918158314000006</v>
      </c>
      <c r="M47" s="2">
        <v>1250342.222517</v>
      </c>
      <c r="N47" s="2">
        <v>203258.85427000865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f>SUM(E47,J47,O47,T47,Y47,AD47,AI47,AN47,AS47,AX47,BC47,BH47)</f>
        <v>136350</v>
      </c>
      <c r="BN47" s="2">
        <f>SUM(H47,M47,R47,W47,AB47,AG47,AL47,AQ47,AV47,BA47,BF47,BK47)</f>
        <v>1917832.6687380001</v>
      </c>
      <c r="BO47" s="2">
        <f>SUM(I47,N47,S47,X47,AC47,AH47,AM47,AR47,AW47,BB47,BG47,BL47)</f>
        <v>309610.09991028509</v>
      </c>
      <c r="BP47" s="35">
        <f>IF(BM47=0,"",BO47/BM47)</f>
        <v>2.2707011361223697</v>
      </c>
      <c r="BQ47" t="s">
        <v>107</v>
      </c>
      <c r="BR47" t="s">
        <v>110</v>
      </c>
    </row>
    <row r="48" spans="1:70" x14ac:dyDescent="0.2">
      <c r="A48" t="s">
        <v>126</v>
      </c>
      <c r="B48" s="124" t="s">
        <v>162</v>
      </c>
      <c r="C48" s="2" t="s">
        <v>163</v>
      </c>
      <c r="D48" s="79">
        <v>1870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32445</v>
      </c>
      <c r="P48" s="2">
        <v>17.41</v>
      </c>
      <c r="Q48" s="2">
        <f>P48/$S$1</f>
        <v>2.879510433608071</v>
      </c>
      <c r="R48" s="2">
        <v>564991.39</v>
      </c>
      <c r="S48" s="2">
        <f>R48/$S$1</f>
        <v>93446.214957135366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51105</v>
      </c>
      <c r="AE48" s="2">
        <v>18.424117209666374</v>
      </c>
      <c r="AF48" s="2">
        <f>AE48/$AH$1</f>
        <v>3.12226553261211</v>
      </c>
      <c r="AG48" s="2">
        <v>941564.51</v>
      </c>
      <c r="AH48" s="2">
        <f>AG48/$AH$1</f>
        <v>159563.38004414187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f>SUM(E48,J48,O48,T48,Y48,AD48,AI48,AN48,AS48,AX48,BC48,BH48)</f>
        <v>83550</v>
      </c>
      <c r="BN48" s="2">
        <f>SUM(H48,M48,R48,W48,AB48,AG48,AL48,AQ48,AV48,BA48,BF48,BK48)</f>
        <v>1506555.9</v>
      </c>
      <c r="BO48" s="2">
        <f>SUM(I48,N48,S48,X48,AC48,AH48,AM48,AR48,AW48,BB48,BG48,BL48)</f>
        <v>253009.59500127722</v>
      </c>
      <c r="BP48" s="35">
        <f>IF(BM48=0,"",BO48/BM48)</f>
        <v>3.0282417115652569</v>
      </c>
      <c r="BQ48" t="s">
        <v>108</v>
      </c>
    </row>
    <row r="49" spans="1:70" hidden="1" x14ac:dyDescent="0.2">
      <c r="A49" t="s">
        <v>126</v>
      </c>
      <c r="B49" s="124" t="s">
        <v>162</v>
      </c>
      <c r="C49" s="2" t="s">
        <v>163</v>
      </c>
      <c r="D49" s="79">
        <v>2175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20165</v>
      </c>
      <c r="P49" s="2">
        <v>17.41</v>
      </c>
      <c r="Q49" s="2">
        <f>P49/$S$1</f>
        <v>2.879510433608071</v>
      </c>
      <c r="R49" s="2">
        <v>351149.68</v>
      </c>
      <c r="S49" s="2">
        <f>R49/$S$1</f>
        <v>58078.06819748049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21078</v>
      </c>
      <c r="Z49" s="2">
        <v>18.420000000000002</v>
      </c>
      <c r="AA49" s="2">
        <f>Z49/$AC$1</f>
        <v>3.1657154052785992</v>
      </c>
      <c r="AB49" s="2">
        <v>388343.54</v>
      </c>
      <c r="AC49" s="2">
        <f>AB49/$AC$1</f>
        <v>66741.863578633318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f>SUM(E49,J49,O49,T49,Y49,AD49,AI49,AN49,AS49,AX49,BC49,BH49)</f>
        <v>41243</v>
      </c>
      <c r="BN49" s="2">
        <f>SUM(H49,M49,R49,W49,AB49,AG49,AL49,AQ49,AV49,BA49,BF49,BK49)</f>
        <v>739493.22</v>
      </c>
      <c r="BO49" s="2">
        <f>SUM(I49,N49,S49,X49,AC49,AH49,AM49,AR49,AW49,BB49,BG49,BL49)</f>
        <v>124819.93177611381</v>
      </c>
      <c r="BP49" s="35">
        <f>IF(BM49=0,"",BO49/BM49)</f>
        <v>3.0264513196448806</v>
      </c>
      <c r="BQ49" t="s">
        <v>108</v>
      </c>
    </row>
    <row r="50" spans="1:70" x14ac:dyDescent="0.2">
      <c r="A50" t="s">
        <v>126</v>
      </c>
      <c r="B50" s="124" t="s">
        <v>164</v>
      </c>
      <c r="C50" s="2" t="s">
        <v>165</v>
      </c>
      <c r="D50" s="79">
        <v>1270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18965</v>
      </c>
      <c r="P50" s="2">
        <v>23.16</v>
      </c>
      <c r="Q50" s="2">
        <f>P50/$S$1</f>
        <v>3.8305262287399726</v>
      </c>
      <c r="R50" s="2">
        <v>439182.93</v>
      </c>
      <c r="S50" s="2">
        <f>R50/$S$1</f>
        <v>72638.244066488405</v>
      </c>
      <c r="T50" s="2">
        <v>38354</v>
      </c>
      <c r="U50">
        <v>24.5</v>
      </c>
      <c r="V50" s="2">
        <f>U50/$X$1</f>
        <v>4.159574874469973</v>
      </c>
      <c r="W50" s="2">
        <v>939719.07000000007</v>
      </c>
      <c r="X50" s="2">
        <f>W50/$X$1</f>
        <v>159544.15643397102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10704</v>
      </c>
      <c r="AE50" s="2">
        <v>24.501202354260091</v>
      </c>
      <c r="AF50" s="2">
        <f>AE50/$AH$1</f>
        <v>4.1521261913230214</v>
      </c>
      <c r="AG50" s="2">
        <v>262260.87</v>
      </c>
      <c r="AH50" s="2">
        <f>AG50/$AH$1</f>
        <v>44444.358751921616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f>SUM(E50,J50,O50,T50,Y50,AD50,AI50,AN50,AS50,AX50,BC50,BH50)</f>
        <v>68023</v>
      </c>
      <c r="BN50" s="2">
        <f>SUM(H50,M50,R50,W50,AB50,AG50,AL50,AQ50,AV50,BA50,BF50,BK50)</f>
        <v>1641162.87</v>
      </c>
      <c r="BO50" s="2">
        <f>SUM(I50,N50,S50,X50,AC50,AH50,AM50,AR50,AW50,BB50,BG50,BL50)</f>
        <v>276626.75925238105</v>
      </c>
      <c r="BP50" s="35">
        <f>IF(BM50=0,"",BO50/BM50)</f>
        <v>4.0666650875789223</v>
      </c>
      <c r="BQ50" s="81" t="s">
        <v>108</v>
      </c>
    </row>
    <row r="51" spans="1:70" hidden="1" x14ac:dyDescent="0.2">
      <c r="A51" t="s">
        <v>126</v>
      </c>
      <c r="B51" s="124" t="s">
        <v>166</v>
      </c>
      <c r="C51" s="2" t="s">
        <v>167</v>
      </c>
      <c r="D51" s="79">
        <v>1870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25581</v>
      </c>
      <c r="P51" s="2">
        <v>21.86</v>
      </c>
      <c r="Q51" s="2">
        <f>P51/$S$1</f>
        <v>3.6155139620144991</v>
      </c>
      <c r="R51" s="2">
        <v>559296.13</v>
      </c>
      <c r="S51" s="2">
        <f>R51/$S$1</f>
        <v>92504.252832373124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f>SUM(E51,J51,O51,T51,Y51,AD51,AI51,AN51,AS51,AX51,BC51,BH51)</f>
        <v>25581</v>
      </c>
      <c r="BN51" s="2">
        <f>SUM(H51,M51,R51,W51,AB51,AG51,AL51,AQ51,AV51,BA51,BF51,BK51)</f>
        <v>559296.13</v>
      </c>
      <c r="BO51" s="2">
        <f>SUM(I51,N51,S51,X51,AC51,AH51,AM51,AR51,AW51,BB51,BG51,BL51)</f>
        <v>92504.252832373124</v>
      </c>
      <c r="BP51" s="35">
        <f>IF(BM51=0,"",BO51/BM51)</f>
        <v>3.616131223657133</v>
      </c>
      <c r="BQ51" s="81" t="s">
        <v>108</v>
      </c>
    </row>
    <row r="52" spans="1:70" x14ac:dyDescent="0.2">
      <c r="A52" t="s">
        <v>126</v>
      </c>
      <c r="B52" s="124" t="s">
        <v>160</v>
      </c>
      <c r="C52" s="2" t="s">
        <v>161</v>
      </c>
      <c r="D52" s="79">
        <v>1855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5399</v>
      </c>
      <c r="P52" s="2">
        <v>22.91</v>
      </c>
      <c r="Q52" s="2">
        <f>P52/$S$1</f>
        <v>3.789177715908151</v>
      </c>
      <c r="R52" s="2">
        <v>123717.44</v>
      </c>
      <c r="S52" s="2">
        <f>R52/$S$1</f>
        <v>20462.128621440581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5374</v>
      </c>
      <c r="Z52" s="2">
        <v>24.24</v>
      </c>
      <c r="AA52" s="2">
        <f>Z52/$AC$1</f>
        <v>4.1659577320278629</v>
      </c>
      <c r="AB52" s="2">
        <v>130282.96</v>
      </c>
      <c r="AC52" s="2">
        <f>AB52/$AC$1</f>
        <v>22390.812894532872</v>
      </c>
      <c r="AD52" s="2">
        <v>10624</v>
      </c>
      <c r="AE52">
        <v>24.24</v>
      </c>
      <c r="AF52" s="2">
        <f>AE52/$AH$1</f>
        <v>4.1078612152342053</v>
      </c>
      <c r="AG52" s="2">
        <v>257559.75</v>
      </c>
      <c r="AH52" s="2">
        <f>AG52/$AH$1</f>
        <v>43647.677707525501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f>SUM(E52,J52,O52,T52,Y52,AD52,AI52,AN52,AS52,AX52,BC52,BH52)</f>
        <v>21397</v>
      </c>
      <c r="BN52" s="2">
        <f>SUM(H52,M52,R52,W52,AB52,AG52,AL52,AQ52,AV52,BA52,BF52,BK52)</f>
        <v>511560.15</v>
      </c>
      <c r="BO52" s="2">
        <f>SUM(I52,N52,S52,X52,AC52,AH52,AM52,AR52,AW52,BB52,BG52,BL52)</f>
        <v>86500.619223498943</v>
      </c>
      <c r="BP52" s="35">
        <f>IF(BM52=0,"",BO52/BM52)</f>
        <v>4.0426517373229398</v>
      </c>
      <c r="BQ52" s="81" t="s">
        <v>107</v>
      </c>
      <c r="BR52" s="81" t="s">
        <v>111</v>
      </c>
    </row>
    <row r="53" spans="1:70" hidden="1" x14ac:dyDescent="0.2">
      <c r="A53" t="s">
        <v>126</v>
      </c>
      <c r="B53" s="123" t="s">
        <v>166</v>
      </c>
      <c r="C53" t="s">
        <v>167</v>
      </c>
      <c r="D53" s="80">
        <v>1270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25815</v>
      </c>
      <c r="U53">
        <v>23.13</v>
      </c>
      <c r="V53" s="2">
        <f>U53/$X$1</f>
        <v>3.9269782386322638</v>
      </c>
      <c r="W53" s="2">
        <v>597152.73</v>
      </c>
      <c r="X53" s="2">
        <f>W53/$X$1</f>
        <v>101383.73436445516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f>SUM(E53,J53,O53,T53,Y53,AD53,AI53,AN53,AS53,AX53,BC53,BH53)</f>
        <v>25815</v>
      </c>
      <c r="BN53" s="2">
        <f>SUM(H53,M53,R53,W53,AB53,AG53,AL53,AQ53,AV53,BA53,BF53,BK53)</f>
        <v>597152.73</v>
      </c>
      <c r="BO53" s="2">
        <f>SUM(I53,N53,S53,X53,AC53,AH53,AM53,AR53,AW53,BB53,BG53,BL53)</f>
        <v>101383.73436445516</v>
      </c>
      <c r="BP53" s="35">
        <f>IF(BM53=0,"",BO53/BM53)</f>
        <v>3.9273187822760085</v>
      </c>
      <c r="BQ53" s="81" t="s">
        <v>108</v>
      </c>
    </row>
    <row r="54" spans="1:70" hidden="1" x14ac:dyDescent="0.2">
      <c r="A54" t="s">
        <v>126</v>
      </c>
      <c r="B54" s="123" t="s">
        <v>211</v>
      </c>
      <c r="C54" t="s">
        <v>212</v>
      </c>
      <c r="D54" s="80">
        <v>1855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45690</v>
      </c>
      <c r="U54">
        <v>18.420000000000002</v>
      </c>
      <c r="V54" s="2">
        <f>U54/$X$1</f>
        <v>3.1273211913362005</v>
      </c>
      <c r="W54" s="2">
        <v>841797.91999999993</v>
      </c>
      <c r="X54" s="2">
        <f>W54/$X$1</f>
        <v>142919.24397604424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f>SUM(E54,J54,O54,T54,Y54,AD54,AI54,AN54,AS54,AX54,BC54,BH54)</f>
        <v>45690</v>
      </c>
      <c r="BN54" s="2">
        <f>SUM(H54,M54,R54,W54,AB54,AG54,AL54,AQ54,AV54,BA54,BF54,BK54)</f>
        <v>841797.91999999993</v>
      </c>
      <c r="BO54" s="2">
        <f>SUM(I54,N54,S54,X54,AC54,AH54,AM54,AR54,AW54,BB54,BG54,BL54)</f>
        <v>142919.24397604424</v>
      </c>
      <c r="BP54" s="35">
        <f>IF(BM54=0,"",BO54/BM54)</f>
        <v>3.1280202227192873</v>
      </c>
      <c r="BQ54" s="81" t="s">
        <v>107</v>
      </c>
      <c r="BR54" t="s">
        <v>110</v>
      </c>
    </row>
    <row r="55" spans="1:70" x14ac:dyDescent="0.2">
      <c r="A55" t="s">
        <v>126</v>
      </c>
      <c r="B55" s="123" t="s">
        <v>213</v>
      </c>
      <c r="C55" t="s">
        <v>214</v>
      </c>
      <c r="D55" s="80">
        <v>1855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5701</v>
      </c>
      <c r="U55">
        <v>31.76</v>
      </c>
      <c r="V55" s="2">
        <f>U55/$X$1</f>
        <v>5.3921672658435238</v>
      </c>
      <c r="W55" s="2">
        <v>181047.65</v>
      </c>
      <c r="X55" s="2">
        <f>W55/$X$1</f>
        <v>30738.010449870759</v>
      </c>
      <c r="Y55" s="2">
        <v>11561</v>
      </c>
      <c r="Z55" s="2">
        <v>31.76</v>
      </c>
      <c r="AA55" s="2">
        <f>Z55/$AC$1</f>
        <v>5.4583670614358466</v>
      </c>
      <c r="AB55" s="2">
        <v>367144.74</v>
      </c>
      <c r="AC55" s="2">
        <f>AB55/$AC$1</f>
        <v>63098.575428067626</v>
      </c>
      <c r="AD55" s="2">
        <v>5587</v>
      </c>
      <c r="AE55">
        <v>31.76</v>
      </c>
      <c r="AF55" s="2">
        <f>AE55/$AH$1</f>
        <v>5.382247202798613</v>
      </c>
      <c r="AG55" s="2">
        <v>177427.34</v>
      </c>
      <c r="AH55" s="2">
        <f>AG55/$AH$1</f>
        <v>30067.940945056624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f>SUM(E55,J55,O55,T55,Y55,AD55,AI55,AN55,AS55,AX55,BC55,BH55)</f>
        <v>22849</v>
      </c>
      <c r="BN55" s="2">
        <f>SUM(H55,M55,R55,W55,AB55,AG55,AL55,AQ55,AV55,BA55,BF55,BK55)</f>
        <v>725619.73</v>
      </c>
      <c r="BO55" s="2">
        <f>SUM(I55,N55,S55,X55,AC55,AH55,AM55,AR55,AW55,BB55,BG55,BL55)</f>
        <v>123904.52682299502</v>
      </c>
      <c r="BP55" s="35">
        <f>IF(BM55=0,"",BO55/BM55)</f>
        <v>5.4227549049409172</v>
      </c>
      <c r="BQ55" s="81" t="s">
        <v>107</v>
      </c>
      <c r="BR55" t="s">
        <v>111</v>
      </c>
    </row>
    <row r="56" spans="1:70" hidden="1" x14ac:dyDescent="0.2">
      <c r="A56" t="s">
        <v>126</v>
      </c>
      <c r="B56" s="123" t="s">
        <v>162</v>
      </c>
      <c r="C56" t="s">
        <v>163</v>
      </c>
      <c r="D56" s="80">
        <v>1270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f>U56/$X$1</f>
        <v>0</v>
      </c>
      <c r="W56" s="2">
        <v>0</v>
      </c>
      <c r="X56" s="2">
        <f>W56/$X$1</f>
        <v>0</v>
      </c>
      <c r="Y56" s="2">
        <v>18333</v>
      </c>
      <c r="Z56" s="2">
        <v>18.420000000000002</v>
      </c>
      <c r="AA56" s="2">
        <f>Z56/$AC$1</f>
        <v>3.1657154052785992</v>
      </c>
      <c r="AB56" s="2">
        <v>337769.35</v>
      </c>
      <c r="AC56" s="2">
        <f>AB56/$AC$1</f>
        <v>58050.034458520022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f>SUM(E56,J56,O56,T56,Y56,AD56,AI56,AN56,AS56,AX56,BC56,BH56)</f>
        <v>18333</v>
      </c>
      <c r="BN56" s="2">
        <f>SUM(H56,M56,R56,W56,AB56,AG56,AL56,AQ56,AV56,BA56,BF56,BK56)</f>
        <v>337769.35</v>
      </c>
      <c r="BO56" s="2">
        <f>SUM(I56,N56,S56,X56,AC56,AH56,AM56,AR56,AW56,BB56,BG56,BL56)</f>
        <v>58050.034458520022</v>
      </c>
      <c r="BP56" s="35">
        <f>IF(BM56=0,"",BO56/BM56)</f>
        <v>3.1664230872481332</v>
      </c>
      <c r="BQ56" t="s">
        <v>108</v>
      </c>
    </row>
    <row r="57" spans="1:70" hidden="1" x14ac:dyDescent="0.2">
      <c r="A57" t="s">
        <v>126</v>
      </c>
      <c r="B57" s="123" t="s">
        <v>223</v>
      </c>
      <c r="C57" t="s">
        <v>224</v>
      </c>
      <c r="D57" s="80">
        <v>2080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f>U57/$X$1</f>
        <v>0</v>
      </c>
      <c r="W57" s="2">
        <v>0</v>
      </c>
      <c r="X57" s="2">
        <f>W57/$X$1</f>
        <v>0</v>
      </c>
      <c r="Y57" s="2">
        <v>20123</v>
      </c>
      <c r="Z57" s="2">
        <v>14.15</v>
      </c>
      <c r="AA57" s="2">
        <f>Z57/$AC$1</f>
        <v>2.4318606397769909</v>
      </c>
      <c r="AB57" s="2">
        <v>284750.28000000003</v>
      </c>
      <c r="AC57" s="2">
        <f>AB57/$AC$1</f>
        <v>48938.021066959533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f>SUM(E57,J57,O57,T57,Y57,AD57,AI57,AN57,AS57,AX57,BC57,BH57)</f>
        <v>20123</v>
      </c>
      <c r="BN57" s="2">
        <f>SUM(H57,M57,R57,W57,AB57,AG57,AL57,AQ57,AV57,BA57,BF57,BK57)</f>
        <v>284750.28000000003</v>
      </c>
      <c r="BO57" s="2">
        <f>SUM(I57,N57,S57,X57,AC57,AH57,AM57,AR57,AW57,BB57,BG57,BL57)</f>
        <v>48938.021066959533</v>
      </c>
      <c r="BP57" s="35">
        <f>IF(BM57=0,"",BO57/BM57)</f>
        <v>2.4319445940942965</v>
      </c>
      <c r="BQ57" s="81" t="s">
        <v>107</v>
      </c>
      <c r="BR57" s="81" t="s">
        <v>111</v>
      </c>
    </row>
    <row r="58" spans="1:70" x14ac:dyDescent="0.2">
      <c r="A58" t="s">
        <v>182</v>
      </c>
      <c r="B58" s="124" t="s">
        <v>130</v>
      </c>
      <c r="C58" s="2" t="s">
        <v>131</v>
      </c>
      <c r="D58" s="79">
        <v>1870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102917</v>
      </c>
      <c r="P58" s="2">
        <v>11.32</v>
      </c>
      <c r="Q58" s="2">
        <f>P58/$S$1</f>
        <v>1.8722606610248917</v>
      </c>
      <c r="R58" s="2">
        <v>1165496.43</v>
      </c>
      <c r="S58" s="2">
        <f>R58/$S$1</f>
        <v>192766.17636519004</v>
      </c>
      <c r="T58" s="2">
        <v>51562</v>
      </c>
      <c r="U58" s="2">
        <v>11.19</v>
      </c>
      <c r="V58" s="2">
        <f>U58/$X$1</f>
        <v>1.8998221569517957</v>
      </c>
      <c r="W58" s="2">
        <v>577213.91</v>
      </c>
      <c r="X58" s="2">
        <f>W58/$X$1</f>
        <v>97998.550091043769</v>
      </c>
      <c r="Y58" s="2">
        <v>102506</v>
      </c>
      <c r="Z58" s="2">
        <v>11.12</v>
      </c>
      <c r="AA58" s="2">
        <f>Z58/$AC$1</f>
        <v>1.911115923273508</v>
      </c>
      <c r="AB58" s="2">
        <v>1140000.49</v>
      </c>
      <c r="AC58" s="2">
        <f>AB58/$AC$1</f>
        <v>195923.83893692459</v>
      </c>
      <c r="AD58" s="2">
        <v>101726</v>
      </c>
      <c r="AE58" s="2">
        <v>11.367694198140102</v>
      </c>
      <c r="AF58" s="2">
        <f>AE58/$AH$1</f>
        <v>1.9264401857748608</v>
      </c>
      <c r="AG58" s="2">
        <v>1156390.06</v>
      </c>
      <c r="AH58" s="2">
        <f>AG58/$AH$1</f>
        <v>195969.05433813352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f>SUM(E58,J58,O58,T58,Y58,AD58,AI58,AN58,AS58,AX58,BC58,BH58)</f>
        <v>358711</v>
      </c>
      <c r="BN58" s="2">
        <f>SUM(H58,M58,R58,W58,AB58,AG58,AL58,AQ58,AV58,BA58,BF58,BK58)</f>
        <v>4039100.89</v>
      </c>
      <c r="BO58" s="2">
        <f>SUM(I58,N58,S58,X58,AC58,AH58,AM58,AR58,AW58,BB58,BG58,BL58)</f>
        <v>682657.6197312919</v>
      </c>
      <c r="BP58" s="35">
        <f>IF(BM58=0,"",BO58/BM58)</f>
        <v>1.903085268450903</v>
      </c>
      <c r="BQ58" s="81" t="s">
        <v>108</v>
      </c>
    </row>
    <row r="59" spans="1:70" x14ac:dyDescent="0.2">
      <c r="A59" t="s">
        <v>182</v>
      </c>
      <c r="B59" s="124" t="s">
        <v>128</v>
      </c>
      <c r="C59" s="2" t="s">
        <v>129</v>
      </c>
      <c r="D59" s="79">
        <v>1855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374939</v>
      </c>
      <c r="P59" s="2">
        <v>11.509999999999998</v>
      </c>
      <c r="Q59" s="2">
        <f>P59/$S$1</f>
        <v>1.9036855307770759</v>
      </c>
      <c r="R59" s="2">
        <v>4318251.1300000008</v>
      </c>
      <c r="S59" s="2">
        <f>R59/$S$1</f>
        <v>714213.04903933627</v>
      </c>
      <c r="T59" s="2">
        <v>149497</v>
      </c>
      <c r="U59" s="2">
        <v>10.87</v>
      </c>
      <c r="V59" s="2">
        <f>U59/$X$1</f>
        <v>1.8454930157342286</v>
      </c>
      <c r="W59" s="2">
        <v>1625501.06</v>
      </c>
      <c r="X59" s="2">
        <f>W59/$X$1</f>
        <v>275975.23949389014</v>
      </c>
      <c r="Y59" s="2">
        <v>298861</v>
      </c>
      <c r="Z59" s="2">
        <v>11.03</v>
      </c>
      <c r="AA59" s="2">
        <f>Z59/$AC$1</f>
        <v>1.8956482584268699</v>
      </c>
      <c r="AB59" s="2">
        <v>3296916.5</v>
      </c>
      <c r="AC59" s="2">
        <f>AB59/$AC$1</f>
        <v>566617.77165945701</v>
      </c>
      <c r="AD59" s="2">
        <v>73426</v>
      </c>
      <c r="AE59" s="2">
        <v>11.203530084711138</v>
      </c>
      <c r="AF59" s="2">
        <f>AE59/$AH$1</f>
        <v>1.8986199137250197</v>
      </c>
      <c r="AG59" s="2">
        <v>822630.40000000002</v>
      </c>
      <c r="AH59" s="2">
        <f>AG59/$AH$1</f>
        <v>139408.0657851733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f>SUM(E59,J59,O59,T59,Y59,AD59,AI59,AN59,AS59,AX59,BC59,BH59)</f>
        <v>896723</v>
      </c>
      <c r="BN59" s="2">
        <f>SUM(H59,M59,R59,W59,AB59,AG59,AL59,AQ59,AV59,BA59,BF59,BK59)</f>
        <v>10063299.090000002</v>
      </c>
      <c r="BO59" s="2">
        <f>SUM(I59,N59,S59,X59,AC59,AH59,AM59,AR59,AW59,BB59,BG59,BL59)</f>
        <v>1696214.1259778566</v>
      </c>
      <c r="BP59" s="35">
        <f>IF(BM59=0,"",BO59/BM59)</f>
        <v>1.8915697779334941</v>
      </c>
      <c r="BQ59" s="81" t="s">
        <v>107</v>
      </c>
      <c r="BR59" t="s">
        <v>110</v>
      </c>
    </row>
    <row r="60" spans="1:70" hidden="1" x14ac:dyDescent="0.2">
      <c r="A60" t="s">
        <v>182</v>
      </c>
      <c r="B60" s="124" t="s">
        <v>128</v>
      </c>
      <c r="C60" s="2" t="s">
        <v>129</v>
      </c>
      <c r="D60" s="79">
        <v>1860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49739</v>
      </c>
      <c r="U60" s="2">
        <v>11.22</v>
      </c>
      <c r="V60" s="2">
        <f>U60/$X$1</f>
        <v>1.9049155139409428</v>
      </c>
      <c r="W60" s="2">
        <v>557847.25</v>
      </c>
      <c r="X60" s="2">
        <f>W60/$X$1</f>
        <v>94710.506322129368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f>SUM(E60,J60,O60,T60,Y60,AD60,AI60,AN60,AS60,AX60,BC60,BH60)</f>
        <v>49739</v>
      </c>
      <c r="BN60" s="2">
        <f>SUM(H60,M60,R60,W60,AB60,AG60,AL60,AQ60,AV60,BA60,BF60,BK60)</f>
        <v>557847.25</v>
      </c>
      <c r="BO60" s="2">
        <f>SUM(I60,N60,S60,X60,AC60,AH60,AM60,AR60,AW60,BB60,BG60,BL60)</f>
        <v>94710.506322129368</v>
      </c>
      <c r="BP60" s="35">
        <f>IF(BM60=0,"",BO60/BM60)</f>
        <v>1.9041497883377101</v>
      </c>
      <c r="BQ60" s="81" t="s">
        <v>108</v>
      </c>
    </row>
    <row r="61" spans="1:70" hidden="1" x14ac:dyDescent="0.2">
      <c r="A61" t="s">
        <v>182</v>
      </c>
      <c r="B61" s="125" t="s">
        <v>30</v>
      </c>
      <c r="C61" s="3" t="s">
        <v>31</v>
      </c>
      <c r="D61" s="79" t="s">
        <v>177</v>
      </c>
      <c r="E61" s="2">
        <v>50606</v>
      </c>
      <c r="F61" s="2">
        <v>14.463658000000001</v>
      </c>
      <c r="G61" s="2">
        <v>2.3044944741000002</v>
      </c>
      <c r="H61" s="2">
        <v>731947.87674800004</v>
      </c>
      <c r="I61" s="2">
        <v>116621.2473551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f>SUM(E61,J61,O61,T61,Y61,AD61,AI61,AN61,AS61,AX61,BC61,BH61)</f>
        <v>50606</v>
      </c>
      <c r="BN61" s="2">
        <f>SUM(H61,M61,R61,W61,AB61,AG61,AL61,AQ61,AV61,BA61,BF61,BK61)</f>
        <v>731947.87674800004</v>
      </c>
      <c r="BO61" s="2">
        <f>SUM(I61,N61,S61,X61,AC61,AH61,AM61,AR61,AW61,BB61,BG61,BL61)</f>
        <v>116621.2473551</v>
      </c>
      <c r="BP61" s="35">
        <f>IF(BM61=0,"",BO61/BM61)</f>
        <v>2.3044944740761966</v>
      </c>
      <c r="BQ61" t="s">
        <v>108</v>
      </c>
    </row>
    <row r="62" spans="1:70" hidden="1" x14ac:dyDescent="0.2">
      <c r="A62" t="s">
        <v>182</v>
      </c>
      <c r="B62" s="125" t="s">
        <v>32</v>
      </c>
      <c r="C62" s="3" t="s">
        <v>33</v>
      </c>
      <c r="D62" s="79" t="s">
        <v>181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48907</v>
      </c>
      <c r="K62" s="2">
        <v>13.877686000000001</v>
      </c>
      <c r="L62" s="2">
        <v>2.2559924039000001</v>
      </c>
      <c r="M62" s="2">
        <v>678715.98920199997</v>
      </c>
      <c r="N62" s="2">
        <v>110333.82049773852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f>SUM(E62,J62,O62,T62,Y62,AD62,AI62,AN62,AS62,AX62,BC62,BH62)</f>
        <v>48907</v>
      </c>
      <c r="BN62" s="2">
        <f>SUM(H62,M62,R62,W62,AB62,AG62,AL62,AQ62,AV62,BA62,BF62,BK62)</f>
        <v>678715.98920199997</v>
      </c>
      <c r="BO62" s="2">
        <f>SUM(I62,N62,S62,X62,AC62,AH62,AM62,AR62,AW62,BB62,BG62,BL62)</f>
        <v>110333.82049773852</v>
      </c>
      <c r="BP62" s="35">
        <f>IF(BM62=0,"",BO62/BM62)</f>
        <v>2.2559924039041142</v>
      </c>
      <c r="BQ62" t="s">
        <v>107</v>
      </c>
      <c r="BR62" t="s">
        <v>110</v>
      </c>
    </row>
    <row r="63" spans="1:70" hidden="1" x14ac:dyDescent="0.2">
      <c r="A63" t="s">
        <v>182</v>
      </c>
      <c r="B63" s="125" t="s">
        <v>34</v>
      </c>
      <c r="C63" s="3" t="s">
        <v>35</v>
      </c>
      <c r="D63" s="79" t="s">
        <v>178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122693</v>
      </c>
      <c r="K63" s="2">
        <v>14.208520000000002</v>
      </c>
      <c r="L63" s="2">
        <v>2.3097736316000002</v>
      </c>
      <c r="M63" s="2">
        <v>1743285.9443599998</v>
      </c>
      <c r="N63" s="2">
        <v>283393.0561845089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f>SUM(E63,J63,O63,T63,Y63,AD63,AI63,AN63,AS63,AX63,BC63,BH63)</f>
        <v>122693</v>
      </c>
      <c r="BN63" s="2">
        <f>SUM(H63,M63,R63,W63,AB63,AG63,AL63,AQ63,AV63,BA63,BF63,BK63)</f>
        <v>1743285.9443599998</v>
      </c>
      <c r="BO63" s="2">
        <f>SUM(I63,N63,S63,X63,AC63,AH63,AM63,AR63,AW63,BB63,BG63,BL63)</f>
        <v>283393.0561845089</v>
      </c>
      <c r="BP63" s="35">
        <f>IF(BM63=0,"",BO63/BM63)</f>
        <v>2.3097736316212734</v>
      </c>
      <c r="BQ63" t="s">
        <v>107</v>
      </c>
      <c r="BR63" t="s">
        <v>110</v>
      </c>
    </row>
    <row r="64" spans="1:70" x14ac:dyDescent="0.2">
      <c r="A64" t="s">
        <v>182</v>
      </c>
      <c r="B64" s="123" t="s">
        <v>219</v>
      </c>
      <c r="C64" t="s">
        <v>220</v>
      </c>
      <c r="D64" s="80">
        <v>1870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f>U64/$X$1</f>
        <v>0</v>
      </c>
      <c r="W64" s="2">
        <v>0</v>
      </c>
      <c r="X64" s="2">
        <f>W64/$X$1</f>
        <v>0</v>
      </c>
      <c r="Y64" s="2">
        <v>25115</v>
      </c>
      <c r="Z64" s="2">
        <v>12.13</v>
      </c>
      <c r="AA64" s="2">
        <f>Z64/$AC$1</f>
        <v>2.0846974954413358</v>
      </c>
      <c r="AB64" s="2">
        <v>304533.69</v>
      </c>
      <c r="AC64" s="2">
        <f>AB64/$AC$1</f>
        <v>52338.056126999843</v>
      </c>
      <c r="AD64" s="2">
        <v>24824</v>
      </c>
      <c r="AE64">
        <v>12.37</v>
      </c>
      <c r="AF64" s="2">
        <f>AE64/$AH$1</f>
        <v>2.0962971630547491</v>
      </c>
      <c r="AG64" s="2">
        <v>306993.69</v>
      </c>
      <c r="AH64" s="2">
        <f>AG64/$AH$1</f>
        <v>52025.06074557067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f>SUM(E64,J64,O64,T64,Y64,AD64,AI64,AN64,AS64,AX64,BC64,BH64)</f>
        <v>49939</v>
      </c>
      <c r="BN64" s="2">
        <f>SUM(H64,M64,R64,W64,AB64,AG64,AL64,AQ64,AV64,BA64,BF64,BK64)</f>
        <v>611527.38</v>
      </c>
      <c r="BO64" s="2">
        <f>SUM(I64,N64,S64,X64,AC64,AH64,AM64,AR64,AW64,BB64,BG64,BL64)</f>
        <v>104363.11687257051</v>
      </c>
      <c r="BP64" s="35">
        <f>IF(BM64=0,"",BO64/BM64)</f>
        <v>2.0898119079791448</v>
      </c>
      <c r="BQ64" t="s">
        <v>108</v>
      </c>
    </row>
    <row r="65" spans="1:70" x14ac:dyDescent="0.2">
      <c r="A65" t="s">
        <v>182</v>
      </c>
      <c r="B65" s="123" t="s">
        <v>228</v>
      </c>
      <c r="C65" t="s">
        <v>229</v>
      </c>
      <c r="D65" s="80">
        <v>1870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103988</v>
      </c>
      <c r="AE65" s="122">
        <v>10.678949974997114</v>
      </c>
      <c r="AF65" s="2">
        <f>AE65/$AH$1</f>
        <v>1.8097213045262761</v>
      </c>
      <c r="AG65" s="2">
        <v>1110482.6499999999</v>
      </c>
      <c r="AH65" s="2">
        <f>AG65/$AH$1</f>
        <v>188189.2990150784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f>SUM(E65,J65,O65,T65,Y65,AD65,AI65,AN65,AS65,AX65,BC65,BH65)</f>
        <v>103988</v>
      </c>
      <c r="BN65" s="2">
        <f>SUM(H65,M65,R65,W65,AB65,AG65,AL65,AQ65,AV65,BA65,BF65,BK65)</f>
        <v>1110482.6499999999</v>
      </c>
      <c r="BO65" s="2">
        <f>SUM(I65,N65,S65,X65,AC65,AH65,AM65,AR65,AW65,BB65,BG65,BL65)</f>
        <v>188189.2990150784</v>
      </c>
      <c r="BP65" s="35">
        <f>IF(BM65=0,"",BO65/BM65)</f>
        <v>1.8097213045262761</v>
      </c>
      <c r="BQ65" s="81" t="s">
        <v>108</v>
      </c>
    </row>
    <row r="66" spans="1:70" x14ac:dyDescent="0.2">
      <c r="A66" t="s">
        <v>182</v>
      </c>
      <c r="B66" s="123" t="s">
        <v>230</v>
      </c>
      <c r="C66" t="s">
        <v>231</v>
      </c>
      <c r="D66" s="80">
        <v>1870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1947</v>
      </c>
      <c r="AE66">
        <v>5.76</v>
      </c>
      <c r="AF66" s="2">
        <f>AE66/$AH$1</f>
        <v>0.97612543728337553</v>
      </c>
      <c r="AG66" s="2">
        <v>11221.87</v>
      </c>
      <c r="AH66" s="2">
        <f>AG66/$AH$1</f>
        <v>1901.727909876249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f>SUM(E66,J66,O66,T66,Y66,AD66,AI66,AN66,AS66,AX66,BC66,BH66)</f>
        <v>1947</v>
      </c>
      <c r="BN66" s="2">
        <f>SUM(H66,M66,R66,W66,AB66,AG66,AL66,AQ66,AV66,BA66,BF66,BK66)</f>
        <v>11221.87</v>
      </c>
      <c r="BO66" s="2">
        <f>SUM(I66,N66,S66,X66,AC66,AH66,AM66,AR66,AW66,BB66,BG66,BL66)</f>
        <v>1901.727909876249</v>
      </c>
      <c r="BP66" s="35">
        <f>IF(BM66=0,"",BO66/BM66)</f>
        <v>0.97674777086607545</v>
      </c>
      <c r="BQ66" s="81" t="s">
        <v>108</v>
      </c>
    </row>
    <row r="67" spans="1:70" hidden="1" x14ac:dyDescent="0.2">
      <c r="A67" t="s">
        <v>127</v>
      </c>
      <c r="B67" s="3" t="s">
        <v>62</v>
      </c>
      <c r="C67" s="3" t="s">
        <v>63</v>
      </c>
      <c r="D67" s="79" t="s">
        <v>177</v>
      </c>
      <c r="E67" s="2">
        <v>44151</v>
      </c>
      <c r="F67" s="2">
        <v>20.253419000000001</v>
      </c>
      <c r="G67" s="2">
        <v>3.2269770320999998</v>
      </c>
      <c r="H67" s="2">
        <v>894208.70226899977</v>
      </c>
      <c r="I67" s="2">
        <v>142474.26294577471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f>SUM(E67,J67,O67,T67,Y67,AD67,AI67,AN67,AS67,AX67,BC67,BH67)</f>
        <v>44151</v>
      </c>
      <c r="BN67" s="2">
        <f>SUM(H67,M67,R67,W67,AB67,AG67,AL67,AQ67,AV67,BA67,BF67,BK67)</f>
        <v>894208.70226899977</v>
      </c>
      <c r="BO67" s="2">
        <f>SUM(I67,N67,S67,X67,AC67,AH67,AM67,AR67,AW67,BB67,BG67,BL67)</f>
        <v>142474.26294577471</v>
      </c>
      <c r="BP67" s="35">
        <f>IF(BM67=0,"",BO67/BM67)</f>
        <v>3.2269770321345996</v>
      </c>
      <c r="BQ67" t="s">
        <v>108</v>
      </c>
    </row>
    <row r="68" spans="1:70" hidden="1" x14ac:dyDescent="0.2">
      <c r="A68" t="s">
        <v>127</v>
      </c>
      <c r="B68" s="3" t="s">
        <v>64</v>
      </c>
      <c r="C68" s="3" t="s">
        <v>65</v>
      </c>
      <c r="D68" s="79" t="s">
        <v>177</v>
      </c>
      <c r="E68" s="2">
        <v>23371</v>
      </c>
      <c r="F68" s="2">
        <v>18.791924000000002</v>
      </c>
      <c r="G68" s="2">
        <v>2.9941170494999994</v>
      </c>
      <c r="H68" s="2">
        <v>439186.05580400006</v>
      </c>
      <c r="I68" s="2">
        <v>69975.50956277021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f>SUM(E68,J68,O68,T68,Y68,AD68,AI68,AN68,AS68,AX68,BC68,BH68)</f>
        <v>23371</v>
      </c>
      <c r="BN68" s="2">
        <f>SUM(H68,M68,R68,W68,AB68,AG68,AL68,AQ68,AV68,BA68,BF68,BK68)</f>
        <v>439186.05580400006</v>
      </c>
      <c r="BO68" s="2">
        <f>SUM(I68,N68,S68,X68,AC68,AH68,AM68,AR68,AW68,BB68,BG68,BL68)</f>
        <v>69975.50956277021</v>
      </c>
      <c r="BP68" s="35">
        <f>IF(BM68=0,"",BO68/BM68)</f>
        <v>2.9941170494531772</v>
      </c>
      <c r="BQ68" t="s">
        <v>108</v>
      </c>
    </row>
    <row r="69" spans="1:70" hidden="1" x14ac:dyDescent="0.2">
      <c r="A69" t="s">
        <v>127</v>
      </c>
      <c r="B69" s="3" t="s">
        <v>66</v>
      </c>
      <c r="C69" s="3" t="s">
        <v>67</v>
      </c>
      <c r="D69" s="79" t="s">
        <v>177</v>
      </c>
      <c r="E69" s="2">
        <v>23074</v>
      </c>
      <c r="F69" s="2">
        <v>20.033065000000001</v>
      </c>
      <c r="G69" s="2">
        <v>3.191868031699999</v>
      </c>
      <c r="H69" s="2">
        <v>462242.94181000011</v>
      </c>
      <c r="I69" s="2">
        <v>73649.162962915027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f>SUM(E69,J69,O69,T69,Y69,AD69,AI69,AN69,AS69,AX69,BC69,BH69)</f>
        <v>23074</v>
      </c>
      <c r="BN69" s="2">
        <f>SUM(H69,M69,R69,W69,AB69,AG69,AL69,AQ69,AV69,BA69,BF69,BK69)</f>
        <v>462242.94181000011</v>
      </c>
      <c r="BO69" s="2">
        <f>SUM(I69,N69,S69,X69,AC69,AH69,AM69,AR69,AW69,BB69,BG69,BL69)</f>
        <v>73649.162962915027</v>
      </c>
      <c r="BP69" s="35">
        <f>IF(BM69=0,"",BO69/BM69)</f>
        <v>3.191868031676997</v>
      </c>
      <c r="BQ69" t="s">
        <v>108</v>
      </c>
    </row>
    <row r="70" spans="1:70" x14ac:dyDescent="0.2">
      <c r="A70" s="123" t="s">
        <v>127</v>
      </c>
      <c r="B70" s="124" t="s">
        <v>168</v>
      </c>
      <c r="C70" s="2" t="s">
        <v>169</v>
      </c>
      <c r="D70" s="79">
        <v>1870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45349</v>
      </c>
      <c r="P70" s="2">
        <v>15.863333333333335</v>
      </c>
      <c r="Q70" s="2">
        <f>P70/$S$1</f>
        <v>2.6237009675552003</v>
      </c>
      <c r="R70" s="2">
        <v>723748.28</v>
      </c>
      <c r="S70" s="2">
        <f>R70/$S$1</f>
        <v>119703.66017035587</v>
      </c>
      <c r="T70" s="2">
        <v>31655</v>
      </c>
      <c r="U70">
        <v>15.134999999999998</v>
      </c>
      <c r="V70" s="2">
        <f>U70/$X$1</f>
        <v>2.5695986010246137</v>
      </c>
      <c r="W70" s="2">
        <v>473681.03</v>
      </c>
      <c r="X70" s="2">
        <f>W70/$X$1</f>
        <v>80420.886159226837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23079</v>
      </c>
      <c r="AE70">
        <v>15.77</v>
      </c>
      <c r="AF70" s="2">
        <f>AE70/$AH$1</f>
        <v>2.6724823170067418</v>
      </c>
      <c r="AG70" s="2">
        <v>363999.4</v>
      </c>
      <c r="AH70" s="2">
        <f>AG70/$AH$1</f>
        <v>61685.603037480272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f>SUM(E70,J70,O70,T70,Y70,AD70,AI70,AN70,AS70,AX70,BC70,BH70)</f>
        <v>100083</v>
      </c>
      <c r="BN70" s="2">
        <f>SUM(H70,M70,R70,W70,AB70,AG70,AL70,AQ70,AV70,BA70,BF70,BK70)</f>
        <v>1561428.71</v>
      </c>
      <c r="BO70" s="2">
        <f>SUM(I70,N70,S70,X70,AC70,AH70,AM70,AR70,AW70,BB70,BG70,BL70)</f>
        <v>261810.14936706296</v>
      </c>
      <c r="BP70" s="35">
        <f>IF(BM70=0,"",BO70/BM70)</f>
        <v>2.6159302715452468</v>
      </c>
      <c r="BQ70" t="s">
        <v>108</v>
      </c>
    </row>
    <row r="71" spans="1:70" hidden="1" x14ac:dyDescent="0.2">
      <c r="A71" t="s">
        <v>127</v>
      </c>
      <c r="B71" s="2" t="s">
        <v>170</v>
      </c>
      <c r="C71" s="2" t="s">
        <v>171</v>
      </c>
      <c r="D71" s="79">
        <v>1870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22741</v>
      </c>
      <c r="P71" s="2">
        <v>17</v>
      </c>
      <c r="Q71" s="2">
        <f>P71/$S$1</f>
        <v>2.8116988725638832</v>
      </c>
      <c r="R71" s="2">
        <v>386493.35</v>
      </c>
      <c r="S71" s="2">
        <f>R71/$S$1</f>
        <v>63923.700967555189</v>
      </c>
      <c r="T71" s="2">
        <v>33874</v>
      </c>
      <c r="U71">
        <v>16.72</v>
      </c>
      <c r="V71" s="2">
        <f>U71/$X$1</f>
        <v>2.8386976286178753</v>
      </c>
      <c r="W71" s="2">
        <v>562748.82000000007</v>
      </c>
      <c r="X71" s="2">
        <f>W71/$X$1</f>
        <v>95542.68784937248</v>
      </c>
      <c r="Y71" s="2">
        <v>45359</v>
      </c>
      <c r="Z71" s="2">
        <v>16.524999999999999</v>
      </c>
      <c r="AA71" s="2">
        <f>Z71/$AC$1</f>
        <v>2.8400351287854964</v>
      </c>
      <c r="AB71" s="2">
        <v>749512.15999999992</v>
      </c>
      <c r="AC71" s="2">
        <f>AB71/$AC$1</f>
        <v>128813.36543733103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f>SUM(E71,J71,O71,T71,Y71,AD71,AI71,AN71,AS71,AX71,BC71,BH71)</f>
        <v>101974</v>
      </c>
      <c r="BN71" s="2">
        <f>SUM(H71,M71,R71,W71,AB71,AG71,AL71,AQ71,AV71,BA71,BF71,BK71)</f>
        <v>1698754.33</v>
      </c>
      <c r="BO71" s="2">
        <f>SUM(I71,N71,S71,X71,AC71,AH71,AM71,AR71,AW71,BB71,BG71,BL71)</f>
        <v>288279.7542542587</v>
      </c>
      <c r="BP71" s="35">
        <f>IF(BM71=0,"",BO71/BM71)</f>
        <v>2.8269927065159619</v>
      </c>
      <c r="BQ71" t="s">
        <v>108</v>
      </c>
    </row>
    <row r="72" spans="1:70" hidden="1" x14ac:dyDescent="0.2">
      <c r="A72" t="s">
        <v>127</v>
      </c>
      <c r="B72" s="2" t="s">
        <v>172</v>
      </c>
      <c r="C72" s="2" t="s">
        <v>173</v>
      </c>
      <c r="D72" s="79">
        <v>1870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21553</v>
      </c>
      <c r="P72" s="2">
        <v>17.12</v>
      </c>
      <c r="Q72" s="2">
        <f>P72/$S$1</f>
        <v>2.8315461587231581</v>
      </c>
      <c r="R72" s="2">
        <v>368909.9</v>
      </c>
      <c r="S72" s="2">
        <f>R72/$S$1</f>
        <v>61015.502935744407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f>SUM(E72,J72,O72,T72,Y72,AD72,AI72,AN72,AS72,AX72,BC72,BH72)</f>
        <v>21553</v>
      </c>
      <c r="BN72" s="2">
        <f>SUM(H72,M72,R72,W72,AB72,AG72,AL72,AQ72,AV72,BA72,BF72,BK72)</f>
        <v>368909.9</v>
      </c>
      <c r="BO72" s="2">
        <f>SUM(I72,N72,S72,X72,AC72,AH72,AM72,AR72,AW72,BB72,BG72,BL72)</f>
        <v>61015.502935744407</v>
      </c>
      <c r="BP72" s="35">
        <f>IF(BM72=0,"",BO72/BM72)</f>
        <v>2.8309517438753029</v>
      </c>
      <c r="BQ72" t="s">
        <v>108</v>
      </c>
    </row>
    <row r="73" spans="1:70" hidden="1" x14ac:dyDescent="0.2">
      <c r="A73" t="s">
        <v>127</v>
      </c>
      <c r="B73" s="2" t="s">
        <v>174</v>
      </c>
      <c r="C73" s="2" t="s">
        <v>175</v>
      </c>
      <c r="D73" s="79">
        <v>1870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30039</v>
      </c>
      <c r="P73" s="2">
        <v>15.675000000000001</v>
      </c>
      <c r="Q73" s="2">
        <f>P73/$S$1</f>
        <v>2.5925517545552279</v>
      </c>
      <c r="R73" s="2">
        <v>470919.06</v>
      </c>
      <c r="S73" s="2">
        <f>R73/$S$1</f>
        <v>77887.211180637867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f>SUM(E73,J73,O73,T73,Y73,AD73,AI73,AN73,AS73,AX73,BC73,BH73)</f>
        <v>30039</v>
      </c>
      <c r="BN73" s="2">
        <f>SUM(H73,M73,R73,W73,AB73,AG73,AL73,AQ73,AV73,BA73,BF73,BK73)</f>
        <v>470919.06</v>
      </c>
      <c r="BO73" s="2">
        <f>SUM(I73,N73,S73,X73,AC73,AH73,AM73,AR73,AW73,BB73,BG73,BL73)</f>
        <v>77887.211180637867</v>
      </c>
      <c r="BP73" s="35">
        <f>IF(BM73=0,"",BO73/BM73)</f>
        <v>2.5928696421531297</v>
      </c>
      <c r="BQ73" t="s">
        <v>108</v>
      </c>
    </row>
    <row r="74" spans="1:70" hidden="1" x14ac:dyDescent="0.2">
      <c r="A74" t="s">
        <v>127</v>
      </c>
      <c r="B74" t="s">
        <v>215</v>
      </c>
      <c r="C74" t="s">
        <v>216</v>
      </c>
      <c r="D74" s="80">
        <v>1840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3037</v>
      </c>
      <c r="U74">
        <v>16.48</v>
      </c>
      <c r="V74" s="2">
        <f>U74/$X$1</f>
        <v>2.7979507727046999</v>
      </c>
      <c r="W74" s="2">
        <v>50053.47</v>
      </c>
      <c r="X74" s="2">
        <f>W74/$X$1</f>
        <v>8498.0063751851649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f>SUM(E74,J74,O74,T74,Y74,AD74,AI74,AN74,AS74,AX74,BC74,BH74)</f>
        <v>3037</v>
      </c>
      <c r="BN74" s="2">
        <f>SUM(H74,M74,R74,W74,AB74,AG74,AL74,AQ74,AV74,BA74,BF74,BK74)</f>
        <v>50053.47</v>
      </c>
      <c r="BO74" s="2">
        <f>SUM(I74,N74,S74,X74,AC74,AH74,AM74,AR74,AW74,BB74,BG74,BL74)</f>
        <v>8498.0063751851649</v>
      </c>
      <c r="BP74" s="35">
        <f>IF(BM74=0,"",BO74/BM74)</f>
        <v>2.7981581742460206</v>
      </c>
      <c r="BQ74" t="s">
        <v>107</v>
      </c>
      <c r="BR74" t="s">
        <v>111</v>
      </c>
    </row>
    <row r="75" spans="1:70" x14ac:dyDescent="0.2">
      <c r="A75" s="81" t="s">
        <v>240</v>
      </c>
      <c r="B75" t="s">
        <v>236</v>
      </c>
      <c r="C75" t="s">
        <v>237</v>
      </c>
      <c r="D75" s="80">
        <v>1870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22058</v>
      </c>
      <c r="AE75">
        <v>14.96</v>
      </c>
      <c r="AF75" s="2">
        <f>AE75/$AH$1</f>
        <v>2.5352146773887672</v>
      </c>
      <c r="AG75" s="2">
        <v>330042.83</v>
      </c>
      <c r="AH75" s="2">
        <f>AG75/$AH$1</f>
        <v>55931.111415970976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f>SUM(E75,J75,O75,T75,Y75,AD75,AI75,AN75,AS75,AX75,BC75,BH75)</f>
        <v>22058</v>
      </c>
      <c r="BN75" s="2">
        <f>SUM(H75,M75,R75,W75,AB75,AG75,AL75,AQ75,AV75,BA75,BF75,BK75)</f>
        <v>330042.83</v>
      </c>
      <c r="BO75" s="2">
        <f>SUM(I75,N75,S75,X75,AC75,AH75,AM75,AR75,AW75,BB75,BG75,BL75)</f>
        <v>55931.111415970976</v>
      </c>
      <c r="BP75" s="35">
        <f>IF(BM75=0,"",BO75/BM75)</f>
        <v>2.5356383813569217</v>
      </c>
      <c r="BQ75" s="81" t="s">
        <v>108</v>
      </c>
    </row>
    <row r="76" spans="1:70" x14ac:dyDescent="0.2">
      <c r="A76" s="81" t="s">
        <v>240</v>
      </c>
      <c r="B76" t="s">
        <v>238</v>
      </c>
      <c r="C76" t="s">
        <v>239</v>
      </c>
      <c r="D76" s="80">
        <v>1830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2735</v>
      </c>
      <c r="AE76">
        <v>13.54</v>
      </c>
      <c r="AF76" s="2">
        <f>AE76/$AH$1</f>
        <v>2.2945726425029349</v>
      </c>
      <c r="AG76" s="2">
        <v>37025.06</v>
      </c>
      <c r="AH76" s="2">
        <f>AG76/$AH$1</f>
        <v>6274.4970282887525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f>SUM(E76,J76,O76,T76,Y76,AD76,AI76,AN76,AS76,AX76,BC76,BH76)</f>
        <v>2735</v>
      </c>
      <c r="BN76" s="2">
        <f>SUM(H76,M76,R76,W76,AB76,AG76,AL76,AQ76,AV76,BA76,BF76,BK76)</f>
        <v>37025.06</v>
      </c>
      <c r="BO76" s="2">
        <f>SUM(I76,N76,S76,X76,AC76,AH76,AM76,AR76,AW76,BB76,BG76,BL76)</f>
        <v>6274.4970282887525</v>
      </c>
      <c r="BP76" s="35">
        <f>IF(BM76=0,"",BO76/BM76)</f>
        <v>2.2941488220434194</v>
      </c>
      <c r="BQ76" s="81" t="s">
        <v>108</v>
      </c>
    </row>
    <row r="78" spans="1:70" x14ac:dyDescent="0.2">
      <c r="AD78" s="2"/>
      <c r="AG78" s="2"/>
    </row>
    <row r="79" spans="1:70" x14ac:dyDescent="0.2">
      <c r="AD79" s="2"/>
      <c r="AG79" s="2"/>
    </row>
    <row r="80" spans="1:70" x14ac:dyDescent="0.2">
      <c r="AD80" s="2"/>
      <c r="AG80" s="2"/>
    </row>
  </sheetData>
  <autoFilter ref="A3:BR76" xr:uid="{061D1B6B-63C0-40AD-919A-5D3E9BD86B07}">
    <filterColumn colId="29">
      <filters>
        <filter val="1.034,00"/>
        <filter val="1.947,00"/>
        <filter val="10.143,00"/>
        <filter val="10.624,00"/>
        <filter val="10.704,00"/>
        <filter val="101.726,00"/>
        <filter val="103.988,00"/>
        <filter val="12.000,00"/>
        <filter val="12.201,00"/>
        <filter val="2.735,00"/>
        <filter val="22.058,00"/>
        <filter val="23.079,00"/>
        <filter val="24.241,00"/>
        <filter val="24.824,00"/>
        <filter val="24.967,00"/>
        <filter val="25.088,00"/>
        <filter val="49.515,00"/>
        <filter val="49.574,00"/>
        <filter val="49.727,00"/>
        <filter val="5.587,00"/>
        <filter val="50.485,00"/>
        <filter val="51.105,00"/>
        <filter val="73.426,00"/>
        <filter val="73.837,00"/>
        <filter val="818,00"/>
      </filters>
    </filterColumn>
  </autoFilter>
  <mergeCells count="38">
    <mergeCell ref="A1:C2"/>
    <mergeCell ref="E1:H1"/>
    <mergeCell ref="J1:M1"/>
    <mergeCell ref="O1:R1"/>
    <mergeCell ref="T1:W1"/>
    <mergeCell ref="Y1:AB1"/>
    <mergeCell ref="W2:X2"/>
    <mergeCell ref="Z2:AA2"/>
    <mergeCell ref="AB2:AC2"/>
    <mergeCell ref="AD1:AG1"/>
    <mergeCell ref="AI1:AL1"/>
    <mergeCell ref="AN1:AQ1"/>
    <mergeCell ref="AS1:AV1"/>
    <mergeCell ref="AX1:BA1"/>
    <mergeCell ref="BC1:BF1"/>
    <mergeCell ref="BH1:BK1"/>
    <mergeCell ref="BM1:BO1"/>
    <mergeCell ref="F2:G2"/>
    <mergeCell ref="H2:I2"/>
    <mergeCell ref="K2:L2"/>
    <mergeCell ref="M2:N2"/>
    <mergeCell ref="P2:Q2"/>
    <mergeCell ref="R2:S2"/>
    <mergeCell ref="U2:V2"/>
    <mergeCell ref="AY2:AZ2"/>
    <mergeCell ref="AE2:AF2"/>
    <mergeCell ref="AG2:AH2"/>
    <mergeCell ref="AJ2:AK2"/>
    <mergeCell ref="BA2:BB2"/>
    <mergeCell ref="BD2:BE2"/>
    <mergeCell ref="BF2:BG2"/>
    <mergeCell ref="BI2:BJ2"/>
    <mergeCell ref="BK2:BL2"/>
    <mergeCell ref="AL2:AM2"/>
    <mergeCell ref="AO2:AP2"/>
    <mergeCell ref="AQ2:AR2"/>
    <mergeCell ref="AT2:AU2"/>
    <mergeCell ref="AV2:AW2"/>
  </mergeCells>
  <phoneticPr fontId="1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7817-2097-478E-A7B9-4D0A9CB6DF9A}">
  <dimension ref="A1:O271"/>
  <sheetViews>
    <sheetView topLeftCell="A81" zoomScale="90" zoomScaleNormal="90" workbookViewId="0">
      <selection activeCell="G92" sqref="G92:G116"/>
    </sheetView>
  </sheetViews>
  <sheetFormatPr defaultRowHeight="12.75" x14ac:dyDescent="0.2"/>
  <cols>
    <col min="1" max="1" width="7.85546875" bestFit="1" customWidth="1"/>
    <col min="2" max="2" width="58.85546875" bestFit="1" customWidth="1"/>
    <col min="3" max="3" width="17.5703125" bestFit="1" customWidth="1"/>
    <col min="4" max="4" width="12.85546875" bestFit="1" customWidth="1"/>
    <col min="5" max="5" width="62.140625" bestFit="1" customWidth="1"/>
    <col min="6" max="6" width="14.140625" style="80" bestFit="1" customWidth="1"/>
    <col min="7" max="7" width="15.42578125" bestFit="1" customWidth="1"/>
    <col min="8" max="8" width="13.85546875" bestFit="1" customWidth="1"/>
    <col min="9" max="9" width="13.140625" bestFit="1" customWidth="1"/>
    <col min="10" max="10" width="19.28515625" bestFit="1" customWidth="1"/>
    <col min="15" max="15" width="29.42578125" bestFit="1" customWidth="1"/>
  </cols>
  <sheetData>
    <row r="1" spans="1:15" s="39" customFormat="1" x14ac:dyDescent="0.2">
      <c r="A1" s="36" t="s">
        <v>92</v>
      </c>
      <c r="B1" s="36" t="s">
        <v>93</v>
      </c>
      <c r="C1" s="36" t="s">
        <v>94</v>
      </c>
      <c r="D1" s="37" t="s">
        <v>95</v>
      </c>
      <c r="E1" s="37" t="s">
        <v>96</v>
      </c>
      <c r="F1" s="85" t="s">
        <v>184</v>
      </c>
      <c r="G1" s="38" t="s">
        <v>97</v>
      </c>
      <c r="H1" s="38" t="s">
        <v>98</v>
      </c>
      <c r="I1" s="37" t="s">
        <v>99</v>
      </c>
      <c r="J1" s="36" t="s">
        <v>90</v>
      </c>
      <c r="O1" s="40" t="s">
        <v>100</v>
      </c>
    </row>
    <row r="2" spans="1:15" s="39" customFormat="1" x14ac:dyDescent="0.2">
      <c r="A2" s="39" t="str">
        <f t="shared" ref="A2:A65" si="0">IF(B2&lt;&gt;"","Curitiba","")</f>
        <v>Curitiba</v>
      </c>
      <c r="B2" s="39" t="str">
        <f>_xlfn.XLOOKUP(D2,Reunido!B:B,Reunido!A:A,"",0)</f>
        <v>MUNK09 / MUNKSJO CAIEIRAS LTDA / BRA</v>
      </c>
      <c r="C2" s="39" t="str">
        <f>IF(D2&lt;&gt;0,IF(_xlfn.XLOOKUP(D2,Reunido!B:B,Reunido!BQ:BQ,"",0)="Print",$O$2,IF(_xlfn.XLOOKUP(D2,Reunido!B:B,Reunido!BQ:BQ,"",0)="IP",$O$3,IF(_xlfn.XLOOKUP(D2,Reunido!B:B,Reunido!BQ:BQ,"",0)="FF",$O$4,""))),"")</f>
        <v>Impregnated Papers</v>
      </c>
      <c r="D2" s="39" t="s">
        <v>74</v>
      </c>
      <c r="E2" s="39" t="s">
        <v>75</v>
      </c>
      <c r="F2" s="86">
        <v>1870</v>
      </c>
      <c r="G2" s="41" cm="1">
        <f t="array" ref="G2">_xlfn.XLOOKUP(D2&amp;F2,Reunido!B:B&amp;Reunido!D:D,Reunido!E:E,"",1)</f>
        <v>25502</v>
      </c>
      <c r="H2" s="41" cm="1">
        <f t="array" ref="H2">_xlfn.XLOOKUP(D2&amp;F2,Reunido!B:B&amp;Reunido!D:D,Reunido!I:I,"",1)</f>
        <v>71146.8793509065</v>
      </c>
      <c r="I2" s="42">
        <v>46023</v>
      </c>
      <c r="J2" s="39" t="str">
        <f>C2</f>
        <v>Impregnated Papers</v>
      </c>
      <c r="O2" s="43" t="s">
        <v>101</v>
      </c>
    </row>
    <row r="3" spans="1:15" s="39" customFormat="1" x14ac:dyDescent="0.2">
      <c r="A3" s="39" t="str">
        <f t="shared" si="0"/>
        <v>Curitiba</v>
      </c>
      <c r="B3" s="39" t="str">
        <f>_xlfn.XLOOKUP(D3,Reunido!B:B,Reunido!A:A,"",0)</f>
        <v>MUNK09 / MUNKSJO CAIEIRAS LTDA / BRA</v>
      </c>
      <c r="C3" s="39" t="str">
        <f>IF(D3&lt;&gt;0,IF(_xlfn.XLOOKUP(D3,Reunido!B:B,Reunido!BQ:BQ,"",0)="Print",$O$2,IF(_xlfn.XLOOKUP(D3,Reunido!B:B,Reunido!BQ:BQ,"",0)="IP",$O$3,IF(_xlfn.XLOOKUP(D3,Reunido!B:B,Reunido!BQ:BQ,"",0)="FF",$O$4,""))),"")</f>
        <v>Impregnated Papers</v>
      </c>
      <c r="D3" s="39" t="s">
        <v>76</v>
      </c>
      <c r="E3" s="39" t="s">
        <v>77</v>
      </c>
      <c r="F3" s="86">
        <v>1855</v>
      </c>
      <c r="G3" s="41" cm="1">
        <f t="array" ref="G3">_xlfn.XLOOKUP(D3&amp;F3,Reunido!B:B&amp;Reunido!D:D,Reunido!E:E,"",1)</f>
        <v>4352</v>
      </c>
      <c r="H3" s="41" cm="1">
        <f t="array" ref="H3">_xlfn.XLOOKUP(D3&amp;F3,Reunido!B:B&amp;Reunido!D:D,Reunido!I:I,"",1)</f>
        <v>12729.9363826554</v>
      </c>
      <c r="I3" s="42">
        <v>46023</v>
      </c>
      <c r="J3" s="39" t="str">
        <f>C3</f>
        <v>Impregnated Papers</v>
      </c>
      <c r="O3" s="43" t="s">
        <v>102</v>
      </c>
    </row>
    <row r="4" spans="1:15" s="39" customFormat="1" x14ac:dyDescent="0.2">
      <c r="A4" s="39" t="str">
        <f t="shared" si="0"/>
        <v>Curitiba</v>
      </c>
      <c r="B4" s="39" t="str">
        <f>_xlfn.XLOOKUP(D4,Reunido!B:B,Reunido!A:A,"",0)</f>
        <v>MUNK09 / MUNKSJO CAIEIRAS LTDA / BRA</v>
      </c>
      <c r="C4" s="39" t="str">
        <f>IF(D4&lt;&gt;0,IF(_xlfn.XLOOKUP(D4,Reunido!B:B,Reunido!BQ:BQ,"",0)="Print",$O$2,IF(_xlfn.XLOOKUP(D4,Reunido!B:B,Reunido!BQ:BQ,"",0)="IP",$O$3,IF(_xlfn.XLOOKUP(D4,Reunido!B:B,Reunido!BQ:BQ,"",0)="FF",$O$4,""))),"")</f>
        <v>Impregnated Papers</v>
      </c>
      <c r="D4" s="39" t="s">
        <v>80</v>
      </c>
      <c r="E4" s="39" t="s">
        <v>81</v>
      </c>
      <c r="F4" s="86">
        <v>1855</v>
      </c>
      <c r="G4" s="41" cm="1">
        <f t="array" ref="G4">_xlfn.XLOOKUP(D4&amp;F4,Reunido!B:B&amp;Reunido!D:D,Reunido!E:E,"",1)</f>
        <v>47661</v>
      </c>
      <c r="H4" s="41" cm="1">
        <f t="array" ref="H4">_xlfn.XLOOKUP(D4&amp;F4,Reunido!B:B&amp;Reunido!D:D,Reunido!I:I,"",1)</f>
        <v>106351.24564027642</v>
      </c>
      <c r="I4" s="42">
        <v>46023</v>
      </c>
      <c r="J4" s="39" t="str">
        <f t="shared" ref="J4:J67" si="1">C4</f>
        <v>Impregnated Papers</v>
      </c>
      <c r="O4" s="43" t="s">
        <v>103</v>
      </c>
    </row>
    <row r="5" spans="1:15" s="39" customFormat="1" x14ac:dyDescent="0.2">
      <c r="A5" s="39" t="str">
        <f t="shared" si="0"/>
        <v>Curitiba</v>
      </c>
      <c r="B5" s="39" t="str">
        <f>_xlfn.XLOOKUP(D5,Reunido!B:B,Reunido!A:A,"",0)</f>
        <v>HUAW01 / HANGZHOU HUAWANG NEW MATERIAL TECHNOLOGY CO.</v>
      </c>
      <c r="C5" s="39" t="str">
        <f>IF(D5&lt;&gt;0,IF(_xlfn.XLOOKUP(D5,Reunido!B:B,Reunido!BQ:BQ,"",0)="Print",$O$2,IF(_xlfn.XLOOKUP(D5,Reunido!B:B,Reunido!BQ:BQ,"",0)="IP",$O$3,IF(_xlfn.XLOOKUP(D5,Reunido!B:B,Reunido!BQ:BQ,"",0)="FF",$O$4,""))),"")</f>
        <v xml:space="preserve">Decorative Papers </v>
      </c>
      <c r="D5" s="39" t="s">
        <v>36</v>
      </c>
      <c r="E5" s="39" t="s">
        <v>37</v>
      </c>
      <c r="F5" s="86">
        <v>1870</v>
      </c>
      <c r="G5" s="41" cm="1">
        <f t="array" ref="G5">_xlfn.XLOOKUP(D5&amp;F5,Reunido!B:B&amp;Reunido!D:D,Reunido!E:E,"",1)</f>
        <v>25137</v>
      </c>
      <c r="H5" s="41" cm="1">
        <f t="array" ref="H5">_xlfn.XLOOKUP(D5&amp;F5,Reunido!B:B&amp;Reunido!D:D,Reunido!I:I,"",1)</f>
        <v>54881.422815664708</v>
      </c>
      <c r="I5" s="42">
        <v>46023</v>
      </c>
      <c r="J5" s="39" t="str">
        <f t="shared" si="1"/>
        <v xml:space="preserve">Decorative Papers </v>
      </c>
    </row>
    <row r="6" spans="1:15" s="39" customFormat="1" x14ac:dyDescent="0.2">
      <c r="A6" s="39" t="str">
        <f t="shared" si="0"/>
        <v>Curitiba</v>
      </c>
      <c r="B6" s="39" t="str">
        <f>_xlfn.XLOOKUP(D6,Reunido!B:B,Reunido!A:A,"",0)</f>
        <v>MUNK04 / MUNKSJO PAPER S/A DETTINGEN / DEU</v>
      </c>
      <c r="C6" s="39" t="str">
        <f>IF(D6&lt;&gt;0,IF(_xlfn.XLOOKUP(D6,Reunido!B:B,Reunido!BQ:BQ,"",0)="Print",$O$2,IF(_xlfn.XLOOKUP(D6,Reunido!B:B,Reunido!BQ:BQ,"",0)="IP",$O$3,IF(_xlfn.XLOOKUP(D6,Reunido!B:B,Reunido!BQ:BQ,"",0)="FF",$O$4,""))),"")</f>
        <v>Finish Foils</v>
      </c>
      <c r="D6" s="39" t="s">
        <v>60</v>
      </c>
      <c r="E6" s="39" t="s">
        <v>61</v>
      </c>
      <c r="F6" s="86">
        <v>1880</v>
      </c>
      <c r="G6" s="41" cm="1">
        <f t="array" ref="G6">_xlfn.XLOOKUP(D6&amp;F6,Reunido!B:B&amp;Reunido!D:D,Reunido!E:E,"",1)</f>
        <v>46994</v>
      </c>
      <c r="H6" s="41" cm="1">
        <f t="array" ref="H6">_xlfn.XLOOKUP(D6&amp;F6,Reunido!B:B&amp;Reunido!D:D,Reunido!I:I,"",1)</f>
        <v>153079.57238859232</v>
      </c>
      <c r="I6" s="42">
        <v>46023</v>
      </c>
      <c r="J6" s="39" t="str">
        <f t="shared" si="1"/>
        <v>Finish Foils</v>
      </c>
      <c r="O6" s="44" t="s">
        <v>104</v>
      </c>
    </row>
    <row r="7" spans="1:15" s="39" customFormat="1" x14ac:dyDescent="0.2">
      <c r="A7" s="39" t="str">
        <f t="shared" si="0"/>
        <v>Curitiba</v>
      </c>
      <c r="B7" s="39" t="str">
        <f>_xlfn.XLOOKUP(D7,Reunido!B:B,Reunido!A:A,"",0)</f>
        <v>MUNK07 / MUNKSJO TOLOSA S.A.U.  / ESP</v>
      </c>
      <c r="C7" s="39" t="str">
        <f>IF(D7&lt;&gt;0,IF(_xlfn.XLOOKUP(D7,Reunido!B:B,Reunido!BQ:BQ,"",0)="Print",$O$2,IF(_xlfn.XLOOKUP(D7,Reunido!B:B,Reunido!BQ:BQ,"",0)="IP",$O$3,IF(_xlfn.XLOOKUP(D7,Reunido!B:B,Reunido!BQ:BQ,"",0)="FF",$O$4,""))),"")</f>
        <v xml:space="preserve">Decorative Papers </v>
      </c>
      <c r="D7" s="39" t="s">
        <v>72</v>
      </c>
      <c r="E7" s="39" t="s">
        <v>73</v>
      </c>
      <c r="F7" s="86">
        <v>1860</v>
      </c>
      <c r="G7" s="41" cm="1">
        <f t="array" ref="G7">_xlfn.XLOOKUP(D7&amp;F7,Reunido!B:B&amp;Reunido!D:D,Reunido!E:E,"",1)</f>
        <v>24709</v>
      </c>
      <c r="H7" s="41" cm="1">
        <f t="array" ref="H7">_xlfn.XLOOKUP(D7&amp;F7,Reunido!B:B&amp;Reunido!D:D,Reunido!I:I,"",1)</f>
        <v>52349.59448011229</v>
      </c>
      <c r="I7" s="42">
        <v>46023</v>
      </c>
      <c r="J7" s="39" t="str">
        <f t="shared" si="1"/>
        <v xml:space="preserve">Decorative Papers </v>
      </c>
      <c r="O7" s="45" t="s">
        <v>105</v>
      </c>
    </row>
    <row r="8" spans="1:15" s="39" customFormat="1" x14ac:dyDescent="0.2">
      <c r="A8" s="39" t="str">
        <f t="shared" si="0"/>
        <v>Curitiba</v>
      </c>
      <c r="B8" s="39" t="str">
        <f>_xlfn.XLOOKUP(D8,Reunido!B:B,Reunido!A:A,"",0)</f>
        <v>KOEH02 / KOEHLER PAPER SE / DEU</v>
      </c>
      <c r="C8" s="39" t="str">
        <f>IF(D8&lt;&gt;0,IF(_xlfn.XLOOKUP(D8,Reunido!B:B,Reunido!BQ:BQ,"",0)="Print",$O$2,IF(_xlfn.XLOOKUP(D8,Reunido!B:B,Reunido!BQ:BQ,"",0)="IP",$O$3,IF(_xlfn.XLOOKUP(D8,Reunido!B:B,Reunido!BQ:BQ,"",0)="FF",$O$4,""))),"")</f>
        <v xml:space="preserve">Decorative Papers </v>
      </c>
      <c r="D8" s="39" t="s">
        <v>68</v>
      </c>
      <c r="E8" s="39" t="s">
        <v>69</v>
      </c>
      <c r="F8" s="86">
        <v>1870</v>
      </c>
      <c r="G8" s="41" cm="1">
        <f t="array" ref="G8">_xlfn.XLOOKUP(D8&amp;F8,Reunido!B:B&amp;Reunido!D:D,Reunido!E:E,"",1)</f>
        <v>51051</v>
      </c>
      <c r="H8" s="41" cm="1">
        <f t="array" ref="H8">_xlfn.XLOOKUP(D8&amp;F8,Reunido!B:B&amp;Reunido!D:D,Reunido!I:I,"",1)</f>
        <v>118023.32512378642</v>
      </c>
      <c r="I8" s="42">
        <v>46023</v>
      </c>
      <c r="J8" s="39" t="str">
        <f t="shared" si="1"/>
        <v xml:space="preserve">Decorative Papers </v>
      </c>
      <c r="O8" s="46" t="s">
        <v>106</v>
      </c>
    </row>
    <row r="9" spans="1:15" s="39" customFormat="1" x14ac:dyDescent="0.2">
      <c r="A9" s="39" t="str">
        <f t="shared" si="0"/>
        <v>Curitiba</v>
      </c>
      <c r="B9" s="39" t="str">
        <f>_xlfn.XLOOKUP(D9,Reunido!B:B,Reunido!A:A,"",0)</f>
        <v>KOEH02 / KOEHLER PAPER SE / DEU</v>
      </c>
      <c r="C9" s="39" t="str">
        <f>IF(D9&lt;&gt;0,IF(_xlfn.XLOOKUP(D9,Reunido!B:B,Reunido!BQ:BQ,"",0)="Print",$O$2,IF(_xlfn.XLOOKUP(D9,Reunido!B:B,Reunido!BQ:BQ,"",0)="IP",$O$3,IF(_xlfn.XLOOKUP(D9,Reunido!B:B,Reunido!BQ:BQ,"",0)="FF",$O$4,""))),"")</f>
        <v xml:space="preserve">Decorative Papers </v>
      </c>
      <c r="D9" s="39" t="s">
        <v>70</v>
      </c>
      <c r="E9" s="39" t="s">
        <v>71</v>
      </c>
      <c r="F9" s="86">
        <v>1870</v>
      </c>
      <c r="G9" s="41" cm="1">
        <f t="array" ref="G9">_xlfn.XLOOKUP(D9&amp;F9,Reunido!B:B&amp;Reunido!D:D,Reunido!E:E,"",1)</f>
        <v>24960</v>
      </c>
      <c r="H9" s="41" cm="1">
        <f t="array" ref="H9">_xlfn.XLOOKUP(D9&amp;F9,Reunido!B:B&amp;Reunido!D:D,Reunido!I:I,"",1)</f>
        <v>49309.82502675349</v>
      </c>
      <c r="I9" s="42">
        <v>46023</v>
      </c>
      <c r="J9" s="39" t="str">
        <f t="shared" si="1"/>
        <v xml:space="preserve">Decorative Papers </v>
      </c>
    </row>
    <row r="10" spans="1:15" s="39" customFormat="1" x14ac:dyDescent="0.2">
      <c r="A10" s="39" t="str">
        <f t="shared" si="0"/>
        <v>Curitiba</v>
      </c>
      <c r="B10" s="39" t="str">
        <f>_xlfn.XLOOKUP(D10,Reunido!B:B,Reunido!A:A,"",0)</f>
        <v>SUNS01 / CENTURY SUNSHINE (SHOUGUANG) SPECIALTY PAPER CO., LTD.</v>
      </c>
      <c r="C10" s="39" t="str">
        <f>IF(D10&lt;&gt;0,IF(_xlfn.XLOOKUP(D10,Reunido!B:B,Reunido!BQ:BQ,"",0)="Print",$O$2,IF(_xlfn.XLOOKUP(D10,Reunido!B:B,Reunido!BQ:BQ,"",0)="IP",$O$3,IF(_xlfn.XLOOKUP(D10,Reunido!B:B,Reunido!BQ:BQ,"",0)="FF",$O$4,""))),"")</f>
        <v xml:space="preserve">Decorative Papers </v>
      </c>
      <c r="D10" s="39" t="s">
        <v>30</v>
      </c>
      <c r="E10" s="39" t="s">
        <v>31</v>
      </c>
      <c r="F10" s="86">
        <v>1870</v>
      </c>
      <c r="G10" s="41" cm="1">
        <f t="array" ref="G10">_xlfn.XLOOKUP(D10&amp;F10,Reunido!B:B&amp;Reunido!D:D,Reunido!E:E,"",1)</f>
        <v>50606</v>
      </c>
      <c r="H10" s="41" cm="1">
        <f t="array" ref="H10">_xlfn.XLOOKUP(D10&amp;F10,Reunido!B:B&amp;Reunido!D:D,Reunido!I:I,"",1)</f>
        <v>116621.2473551</v>
      </c>
      <c r="I10" s="42">
        <v>46023</v>
      </c>
      <c r="J10" s="39" t="str">
        <f t="shared" si="1"/>
        <v xml:space="preserve">Decorative Papers </v>
      </c>
    </row>
    <row r="11" spans="1:15" s="39" customFormat="1" x14ac:dyDescent="0.2">
      <c r="A11" s="39" t="str">
        <f t="shared" si="0"/>
        <v>Curitiba</v>
      </c>
      <c r="B11" s="39" t="str">
        <f>_xlfn.XLOOKUP(D11,Reunido!B:B,Reunido!A:A,"",0)</f>
        <v>TECH01 / Felix Schoeller GmbH &amp; Co. / DEU</v>
      </c>
      <c r="C11" s="39" t="str">
        <f>IF(D11&lt;&gt;0,IF(_xlfn.XLOOKUP(D11,Reunido!B:B,Reunido!BQ:BQ,"",0)="Print",$O$2,IF(_xlfn.XLOOKUP(D11,Reunido!B:B,Reunido!BQ:BQ,"",0)="IP",$O$3,IF(_xlfn.XLOOKUP(D11,Reunido!B:B,Reunido!BQ:BQ,"",0)="FF",$O$4,""))),"")</f>
        <v xml:space="preserve">Decorative Papers </v>
      </c>
      <c r="D11" s="39" t="s">
        <v>62</v>
      </c>
      <c r="E11" s="39" t="s">
        <v>63</v>
      </c>
      <c r="F11" s="86">
        <v>1870</v>
      </c>
      <c r="G11" s="41" cm="1">
        <f t="array" ref="G11">_xlfn.XLOOKUP(D11&amp;F11,Reunido!B:B&amp;Reunido!D:D,Reunido!E:E,"",1)</f>
        <v>44151</v>
      </c>
      <c r="H11" s="41" cm="1">
        <f t="array" ref="H11">_xlfn.XLOOKUP(D11&amp;F11,Reunido!B:B&amp;Reunido!D:D,Reunido!I:I,"",1)</f>
        <v>142474.26294577471</v>
      </c>
      <c r="I11" s="42">
        <v>46023</v>
      </c>
      <c r="J11" s="39" t="str">
        <f t="shared" si="1"/>
        <v xml:space="preserve">Decorative Papers </v>
      </c>
    </row>
    <row r="12" spans="1:15" s="39" customFormat="1" x14ac:dyDescent="0.2">
      <c r="A12" s="39" t="str">
        <f t="shared" si="0"/>
        <v>Curitiba</v>
      </c>
      <c r="B12" s="39" t="str">
        <f>_xlfn.XLOOKUP(D12,Reunido!B:B,Reunido!A:A,"",0)</f>
        <v>TECH01 / Felix Schoeller GmbH &amp; Co. / DEU</v>
      </c>
      <c r="C12" s="39" t="str">
        <f>IF(D12&lt;&gt;0,IF(_xlfn.XLOOKUP(D12,Reunido!B:B,Reunido!BQ:BQ,"",0)="Print",$O$2,IF(_xlfn.XLOOKUP(D12,Reunido!B:B,Reunido!BQ:BQ,"",0)="IP",$O$3,IF(_xlfn.XLOOKUP(D12,Reunido!B:B,Reunido!BQ:BQ,"",0)="FF",$O$4,""))),"")</f>
        <v xml:space="preserve">Decorative Papers </v>
      </c>
      <c r="D12" s="39" t="s">
        <v>64</v>
      </c>
      <c r="E12" s="39" t="s">
        <v>65</v>
      </c>
      <c r="F12" s="86">
        <v>1870</v>
      </c>
      <c r="G12" s="41" cm="1">
        <f t="array" ref="G12">_xlfn.XLOOKUP(D12&amp;F12,Reunido!B:B&amp;Reunido!D:D,Reunido!E:E,"",1)</f>
        <v>23371</v>
      </c>
      <c r="H12" s="41" cm="1">
        <f t="array" ref="H12">_xlfn.XLOOKUP(D12&amp;F12,Reunido!B:B&amp;Reunido!D:D,Reunido!I:I,"",1)</f>
        <v>69975.50956277021</v>
      </c>
      <c r="I12" s="42">
        <v>46023</v>
      </c>
      <c r="J12" s="39" t="str">
        <f t="shared" si="1"/>
        <v xml:space="preserve">Decorative Papers </v>
      </c>
    </row>
    <row r="13" spans="1:15" s="39" customFormat="1" x14ac:dyDescent="0.2">
      <c r="A13" s="39" t="str">
        <f t="shared" si="0"/>
        <v>Curitiba</v>
      </c>
      <c r="B13" s="39" t="str">
        <f>_xlfn.XLOOKUP(D13,Reunido!B:B,Reunido!A:A,"",0)</f>
        <v>TECH01 / Felix Schoeller GmbH &amp; Co. / DEU</v>
      </c>
      <c r="C13" s="39" t="str">
        <f>IF(D13&lt;&gt;0,IF(_xlfn.XLOOKUP(D13,Reunido!B:B,Reunido!BQ:BQ,"",0)="Print",$O$2,IF(_xlfn.XLOOKUP(D13,Reunido!B:B,Reunido!BQ:BQ,"",0)="IP",$O$3,IF(_xlfn.XLOOKUP(D13,Reunido!B:B,Reunido!BQ:BQ,"",0)="FF",$O$4,""))),"")</f>
        <v xml:space="preserve">Decorative Papers </v>
      </c>
      <c r="D13" s="39" t="s">
        <v>66</v>
      </c>
      <c r="E13" s="39" t="s">
        <v>67</v>
      </c>
      <c r="F13" s="86">
        <v>1870</v>
      </c>
      <c r="G13" s="41" cm="1">
        <f t="array" ref="G13">_xlfn.XLOOKUP(D13&amp;F13,Reunido!B:B&amp;Reunido!D:D,Reunido!E:E,"",1)</f>
        <v>23074</v>
      </c>
      <c r="H13" s="41" cm="1">
        <f t="array" ref="H13">_xlfn.XLOOKUP(D13&amp;F13,Reunido!B:B&amp;Reunido!D:D,Reunido!I:I,"",1)</f>
        <v>73649.162962915027</v>
      </c>
      <c r="I13" s="42">
        <v>46023</v>
      </c>
      <c r="J13" s="39" t="str">
        <f t="shared" si="1"/>
        <v xml:space="preserve">Decorative Papers </v>
      </c>
    </row>
    <row r="14" spans="1:15" s="39" customFormat="1" x14ac:dyDescent="0.2">
      <c r="A14" s="39" t="str">
        <f t="shared" si="0"/>
        <v>Curitiba</v>
      </c>
      <c r="B14" s="39" t="str">
        <f>_xlfn.XLOOKUP(D14,Reunido!B:B,Reunido!A:A,"",0)</f>
        <v>MLTV01 / VF PAPEIS S.A. / BRA</v>
      </c>
      <c r="C14" s="39" t="str">
        <f>IF(D14&lt;&gt;0,IF(_xlfn.XLOOKUP(D14,Reunido!B:B,Reunido!BQ:BQ,"",0)="Print",$O$2,IF(_xlfn.XLOOKUP(D14,Reunido!B:B,Reunido!BQ:BQ,"",0)="IP",$O$3,IF(_xlfn.XLOOKUP(D14,Reunido!B:B,Reunido!BQ:BQ,"",0)="FF",$O$4,""))),"")</f>
        <v>Finish Foils</v>
      </c>
      <c r="D14" s="39" t="s">
        <v>82</v>
      </c>
      <c r="E14" s="39" t="s">
        <v>83</v>
      </c>
      <c r="F14" s="86">
        <v>1900</v>
      </c>
      <c r="G14" s="41" cm="1">
        <f t="array" ref="G14">_xlfn.XLOOKUP(D14&amp;F14,Reunido!B:B&amp;Reunido!D:D,Reunido!E:E,"",1)</f>
        <v>30236</v>
      </c>
      <c r="H14" s="41" cm="1">
        <f t="array" ref="H14">_xlfn.XLOOKUP(D14&amp;F14,Reunido!B:B&amp;Reunido!D:D,Reunido!I:I,"",1)</f>
        <v>66962.828416061893</v>
      </c>
      <c r="I14" s="42">
        <v>46023</v>
      </c>
      <c r="J14" s="39" t="str">
        <f t="shared" si="1"/>
        <v>Finish Foils</v>
      </c>
    </row>
    <row r="15" spans="1:15" s="39" customFormat="1" x14ac:dyDescent="0.2">
      <c r="A15" s="39" t="str">
        <f t="shared" si="0"/>
        <v>Curitiba</v>
      </c>
      <c r="B15" s="39" t="str">
        <f>_xlfn.XLOOKUP(D15,Reunido!B:B,Reunido!A:A,"",0)</f>
        <v>MLTV01 / VF PAPEIS S.A. / BRA</v>
      </c>
      <c r="C15" s="39" t="str">
        <f>IF(D15&lt;&gt;0,IF(_xlfn.XLOOKUP(D15,Reunido!B:B,Reunido!BQ:BQ,"",0)="Print",$O$2,IF(_xlfn.XLOOKUP(D15,Reunido!B:B,Reunido!BQ:BQ,"",0)="IP",$O$3,IF(_xlfn.XLOOKUP(D15,Reunido!B:B,Reunido!BQ:BQ,"",0)="FF",$O$4,""))),"")</f>
        <v>Finish Foils</v>
      </c>
      <c r="D15" s="39" t="s">
        <v>84</v>
      </c>
      <c r="E15" s="39" t="s">
        <v>85</v>
      </c>
      <c r="F15" s="86">
        <v>1900</v>
      </c>
      <c r="G15" s="41" cm="1">
        <f t="array" ref="G15">_xlfn.XLOOKUP(D15&amp;F15,Reunido!B:B&amp;Reunido!D:D,Reunido!E:E,"",1)</f>
        <v>14324</v>
      </c>
      <c r="H15" s="41" cm="1">
        <f t="array" ref="H15">_xlfn.XLOOKUP(D15&amp;F15,Reunido!B:B&amp;Reunido!D:D,Reunido!I:I,"",1)</f>
        <v>28217.069874520599</v>
      </c>
      <c r="I15" s="42">
        <v>46023</v>
      </c>
      <c r="J15" s="39" t="str">
        <f t="shared" si="1"/>
        <v>Finish Foils</v>
      </c>
    </row>
    <row r="16" spans="1:15" s="39" customFormat="1" x14ac:dyDescent="0.2">
      <c r="A16" s="39" t="str">
        <f t="shared" si="0"/>
        <v>Curitiba</v>
      </c>
      <c r="B16" s="39" t="str">
        <f>_xlfn.XLOOKUP(D16,Reunido!B:B,Reunido!A:A,"",0)</f>
        <v>MLTV01 / VF PAPEIS S.A. / BRA</v>
      </c>
      <c r="C16" s="39" t="str">
        <f>IF(D16&lt;&gt;0,IF(_xlfn.XLOOKUP(D16,Reunido!B:B,Reunido!BQ:BQ,"",0)="Print",$O$2,IF(_xlfn.XLOOKUP(D16,Reunido!B:B,Reunido!BQ:BQ,"",0)="IP",$O$3,IF(_xlfn.XLOOKUP(D16,Reunido!B:B,Reunido!BQ:BQ,"",0)="FF",$O$4,""))),"")</f>
        <v>Finish Foils</v>
      </c>
      <c r="D16" s="39" t="s">
        <v>86</v>
      </c>
      <c r="E16" s="39" t="s">
        <v>87</v>
      </c>
      <c r="F16" s="86">
        <v>1900</v>
      </c>
      <c r="G16" s="41" cm="1">
        <f t="array" ref="G16">_xlfn.XLOOKUP(D16&amp;F16,Reunido!B:B&amp;Reunido!D:D,Reunido!E:E,"",1)</f>
        <v>26786</v>
      </c>
      <c r="H16" s="41" cm="1">
        <f t="array" ref="H16">_xlfn.XLOOKUP(D16&amp;F16,Reunido!B:B&amp;Reunido!D:D,Reunido!I:I,"",1)</f>
        <v>80719.428036871803</v>
      </c>
      <c r="I16" s="42">
        <v>46023</v>
      </c>
      <c r="J16" s="39" t="str">
        <f t="shared" si="1"/>
        <v>Finish Foils</v>
      </c>
    </row>
    <row r="17" spans="1:10" s="39" customFormat="1" x14ac:dyDescent="0.2">
      <c r="A17" s="39" t="str">
        <f>IF(B17&lt;&gt;"","Curitiba","")</f>
        <v>Curitiba</v>
      </c>
      <c r="B17" s="39" t="str">
        <f>_xlfn.XLOOKUP(D17,Reunido!B:B,Reunido!A:A,"",0)</f>
        <v>SUNS01 / CENTURY SUNSHINE (SHOUGUANG) SPECIALTY PAPER CO., LTD.</v>
      </c>
      <c r="C17" s="39" t="str">
        <f>IF(D17&lt;&gt;0,IF(_xlfn.XLOOKUP(D17,Reunido!B:B,Reunido!BQ:BQ,"",0)="Print",$O$2,IF(_xlfn.XLOOKUP(D17,Reunido!B:B,Reunido!BQ:BQ,"",0)="IP",$O$3,IF(_xlfn.XLOOKUP(D17,Reunido!B:B,Reunido!BQ:BQ,"",0)="FF",$O$4,""))),"")</f>
        <v>Impregnated Papers</v>
      </c>
      <c r="D17" s="39" t="s">
        <v>32</v>
      </c>
      <c r="E17" s="39" t="s">
        <v>33</v>
      </c>
      <c r="F17" s="86">
        <v>1860</v>
      </c>
      <c r="G17" s="41" cm="1">
        <f t="array" ref="G17">_xlfn.XLOOKUP(D17&amp;F17,Reunido!B:B&amp;Reunido!D:D,Reunido!J:J,"",1)</f>
        <v>48907</v>
      </c>
      <c r="H17" s="41" cm="1">
        <f t="array" ref="H17">_xlfn.XLOOKUP(D17&amp;F17,Reunido!B:B&amp;Reunido!D:D,Reunido!N:N,"",1)</f>
        <v>110333.82049773852</v>
      </c>
      <c r="I17" s="42">
        <v>46054</v>
      </c>
      <c r="J17" s="39" t="str">
        <f t="shared" si="1"/>
        <v>Impregnated Papers</v>
      </c>
    </row>
    <row r="18" spans="1:10" s="39" customFormat="1" x14ac:dyDescent="0.2">
      <c r="A18" s="39" t="str">
        <f t="shared" si="0"/>
        <v>Curitiba</v>
      </c>
      <c r="B18" s="39" t="str">
        <f>_xlfn.XLOOKUP(D18,Reunido!B:B,Reunido!A:A,"",0)</f>
        <v>SUNS01 / CENTURY SUNSHINE (SHOUGUANG) SPECIALTY PAPER CO., LTD.</v>
      </c>
      <c r="C18" s="39" t="str">
        <f>IF(D18&lt;&gt;0,IF(_xlfn.XLOOKUP(D18,Reunido!B:B,Reunido!BQ:BQ,"",0)="Print",$O$2,IF(_xlfn.XLOOKUP(D18,Reunido!B:B,Reunido!BQ:BQ,"",0)="IP",$O$3,IF(_xlfn.XLOOKUP(D18,Reunido!B:B,Reunido!BQ:BQ,"",0)="FF",$O$4,""))),"")</f>
        <v>Impregnated Papers</v>
      </c>
      <c r="D18" s="39" t="s">
        <v>34</v>
      </c>
      <c r="E18" s="39" t="s">
        <v>35</v>
      </c>
      <c r="F18" s="86">
        <v>1855</v>
      </c>
      <c r="G18" s="41" cm="1">
        <f t="array" ref="G18">_xlfn.XLOOKUP(D18&amp;F18,Reunido!B:B&amp;Reunido!D:D,Reunido!J:J,"",1)</f>
        <v>122693</v>
      </c>
      <c r="H18" s="41" cm="1">
        <f t="array" ref="H18">_xlfn.XLOOKUP(D18&amp;F18,Reunido!B:B&amp;Reunido!D:D,Reunido!N:N,"",1)</f>
        <v>283393.0561845089</v>
      </c>
      <c r="I18" s="42">
        <v>46054</v>
      </c>
      <c r="J18" s="39" t="str">
        <f t="shared" si="1"/>
        <v>Impregnated Papers</v>
      </c>
    </row>
    <row r="19" spans="1:10" s="39" customFormat="1" x14ac:dyDescent="0.2">
      <c r="A19" s="39" t="str">
        <f t="shared" si="0"/>
        <v>Curitiba</v>
      </c>
      <c r="B19" s="39" t="str">
        <f>_xlfn.XLOOKUP(D19,Reunido!B:B,Reunido!A:A,"",0)</f>
        <v>HUAW01 / HANGZHOU HUAWANG NEW MATERIAL TECHNOLOGY CO.</v>
      </c>
      <c r="C19" s="39" t="str">
        <f>IF(D19&lt;&gt;0,IF(_xlfn.XLOOKUP(D19,Reunido!B:B,Reunido!BQ:BQ,"",0)="Print",$O$2,IF(_xlfn.XLOOKUP(D19,Reunido!B:B,Reunido!BQ:BQ,"",0)="IP",$O$3,IF(_xlfn.XLOOKUP(D19,Reunido!B:B,Reunido!BQ:BQ,"",0)="FF",$O$4,""))),"")</f>
        <v xml:space="preserve">Decorative Papers </v>
      </c>
      <c r="D19" s="39" t="s">
        <v>36</v>
      </c>
      <c r="E19" s="39" t="s">
        <v>37</v>
      </c>
      <c r="F19" s="86">
        <v>1870</v>
      </c>
      <c r="G19" s="41" cm="1">
        <f t="array" ref="G19">_xlfn.XLOOKUP(D19&amp;F19,Reunido!B:B&amp;Reunido!D:D,Reunido!J:J,"",1)</f>
        <v>25228</v>
      </c>
      <c r="H19" s="41" cm="1">
        <f t="array" ref="H19">_xlfn.XLOOKUP(D19&amp;F19,Reunido!B:B&amp;Reunido!D:D,Reunido!N:N,"",1)</f>
        <v>55784.134958753202</v>
      </c>
      <c r="I19" s="42">
        <v>46054</v>
      </c>
      <c r="J19" s="39" t="str">
        <f t="shared" si="1"/>
        <v xml:space="preserve">Decorative Papers </v>
      </c>
    </row>
    <row r="20" spans="1:10" s="39" customFormat="1" x14ac:dyDescent="0.2">
      <c r="A20" s="39" t="str">
        <f t="shared" si="0"/>
        <v>Curitiba</v>
      </c>
      <c r="B20" s="39" t="str">
        <f>_xlfn.XLOOKUP(D20,Reunido!B:B,Reunido!A:A,"",0)</f>
        <v>MUNK09 / MUNKSJO CAIEIRAS LTDA / BRA</v>
      </c>
      <c r="C20" s="39" t="str">
        <f>IF(D20&lt;&gt;0,IF(_xlfn.XLOOKUP(D20,Reunido!B:B,Reunido!BQ:BQ,"",0)="Print",$O$2,IF(_xlfn.XLOOKUP(D20,Reunido!B:B,Reunido!BQ:BQ,"",0)="IP",$O$3,IF(_xlfn.XLOOKUP(D20,Reunido!B:B,Reunido!BQ:BQ,"",0)="FF",$O$4,""))),"")</f>
        <v xml:space="preserve">Decorative Papers </v>
      </c>
      <c r="D20" s="39" t="s">
        <v>78</v>
      </c>
      <c r="E20" s="39" t="s">
        <v>79</v>
      </c>
      <c r="F20" s="86">
        <v>1870</v>
      </c>
      <c r="G20" s="41" cm="1">
        <f t="array" ref="G20">_xlfn.XLOOKUP(D20&amp;F20,Reunido!B:B&amp;Reunido!D:D,Reunido!J:J,"",1)</f>
        <v>63281</v>
      </c>
      <c r="H20" s="41" cm="1">
        <f t="array" ref="H20">_xlfn.XLOOKUP(D20&amp;F20,Reunido!B:B&amp;Reunido!D:D,Reunido!N:N,"",1)</f>
        <v>145148.5409292749</v>
      </c>
      <c r="I20" s="42">
        <v>46054</v>
      </c>
      <c r="J20" s="39" t="str">
        <f t="shared" si="1"/>
        <v xml:space="preserve">Decorative Papers </v>
      </c>
    </row>
    <row r="21" spans="1:10" s="39" customFormat="1" x14ac:dyDescent="0.2">
      <c r="A21" s="39" t="str">
        <f t="shared" si="0"/>
        <v>Curitiba</v>
      </c>
      <c r="B21" s="39" t="str">
        <f>_xlfn.XLOOKUP(D21,Reunido!B:B,Reunido!A:A,"",0)</f>
        <v>MUNK09 / MUNKSJO CAIEIRAS LTDA / BRA</v>
      </c>
      <c r="C21" s="39" t="str">
        <f>IF(D21&lt;&gt;0,IF(_xlfn.XLOOKUP(D21,Reunido!B:B,Reunido!BQ:BQ,"",0)="Print",$O$2,IF(_xlfn.XLOOKUP(D21,Reunido!B:B,Reunido!BQ:BQ,"",0)="IP",$O$3,IF(_xlfn.XLOOKUP(D21,Reunido!B:B,Reunido!BQ:BQ,"",0)="FF",$O$4,""))),"")</f>
        <v>Impregnated Papers</v>
      </c>
      <c r="D21" s="39" t="s">
        <v>80</v>
      </c>
      <c r="E21" s="39" t="s">
        <v>81</v>
      </c>
      <c r="F21" s="86">
        <v>1855</v>
      </c>
      <c r="G21" s="41" cm="1">
        <f t="array" ref="G21">_xlfn.XLOOKUP(D21&amp;F21,Reunido!B:B&amp;Reunido!D:D,Reunido!J:J,"",1)</f>
        <v>88689</v>
      </c>
      <c r="H21" s="41" cm="1">
        <f t="array" ref="H21">_xlfn.XLOOKUP(D21&amp;F21,Reunido!B:B&amp;Reunido!D:D,Reunido!N:N,"",1)</f>
        <v>203258.85427000865</v>
      </c>
      <c r="I21" s="42">
        <v>46054</v>
      </c>
      <c r="J21" s="39" t="str">
        <f t="shared" si="1"/>
        <v>Impregnated Papers</v>
      </c>
    </row>
    <row r="22" spans="1:10" s="39" customFormat="1" x14ac:dyDescent="0.2">
      <c r="A22" s="39" t="str">
        <f t="shared" si="0"/>
        <v>Curitiba</v>
      </c>
      <c r="B22" s="39" t="str">
        <f>_xlfn.XLOOKUP(D22,Reunido!B:B,Reunido!A:A,"",0)</f>
        <v>MLTV01 / VF PAPEIS S.A. / BRA</v>
      </c>
      <c r="C22" s="39" t="str">
        <f>IF(D22&lt;&gt;0,IF(_xlfn.XLOOKUP(D22,Reunido!B:B,Reunido!BQ:BQ,"",0)="Print",$O$2,IF(_xlfn.XLOOKUP(D22,Reunido!B:B,Reunido!BQ:BQ,"",0)="IP",$O$3,IF(_xlfn.XLOOKUP(D22,Reunido!B:B,Reunido!BQ:BQ,"",0)="FF",$O$4,""))),"")</f>
        <v>Finish Foils</v>
      </c>
      <c r="D22" s="39" t="s">
        <v>82</v>
      </c>
      <c r="E22" s="39" t="s">
        <v>83</v>
      </c>
      <c r="F22" s="86">
        <v>1900</v>
      </c>
      <c r="G22" s="41" cm="1">
        <f t="array" ref="G22">_xlfn.XLOOKUP(D22&amp;F22,Reunido!B:B&amp;Reunido!D:D,Reunido!J:J,"",1)</f>
        <v>15029</v>
      </c>
      <c r="H22" s="41" cm="1">
        <f t="array" ref="H22">_xlfn.XLOOKUP(D22&amp;F22,Reunido!B:B&amp;Reunido!D:D,Reunido!N:N,"",1)</f>
        <v>34457.337809843702</v>
      </c>
      <c r="I22" s="42">
        <v>46054</v>
      </c>
      <c r="J22" s="39" t="str">
        <f t="shared" si="1"/>
        <v>Finish Foils</v>
      </c>
    </row>
    <row r="23" spans="1:10" s="39" customFormat="1" x14ac:dyDescent="0.2">
      <c r="A23" s="39" t="str">
        <f t="shared" si="0"/>
        <v>Curitiba</v>
      </c>
      <c r="B23" s="39" t="str">
        <f>_xlfn.XLOOKUP(D23,Reunido!B:B,Reunido!A:A,"",0)</f>
        <v>MLTV01 / VF PAPEIS S.A. / BRA</v>
      </c>
      <c r="C23" s="39" t="str">
        <f>IF(D23&lt;&gt;0,IF(_xlfn.XLOOKUP(D23,Reunido!B:B,Reunido!BQ:BQ,"",0)="Print",$O$2,IF(_xlfn.XLOOKUP(D23,Reunido!B:B,Reunido!BQ:BQ,"",0)="IP",$O$3,IF(_xlfn.XLOOKUP(D23,Reunido!B:B,Reunido!BQ:BQ,"",0)="FF",$O$4,""))),"")</f>
        <v>Finish Foils</v>
      </c>
      <c r="D23" s="39" t="s">
        <v>84</v>
      </c>
      <c r="E23" s="39" t="s">
        <v>85</v>
      </c>
      <c r="F23" s="86">
        <v>1900</v>
      </c>
      <c r="G23" s="41" cm="1">
        <f t="array" ref="G23">_xlfn.XLOOKUP(D23&amp;F23,Reunido!B:B&amp;Reunido!D:D,Reunido!J:J,"",1)</f>
        <v>30382</v>
      </c>
      <c r="H23" s="41" cm="1">
        <f t="array" ref="H23">_xlfn.XLOOKUP(D23&amp;F23,Reunido!B:B&amp;Reunido!D:D,Reunido!N:N,"",1)</f>
        <v>61581.323786917012</v>
      </c>
      <c r="I23" s="42">
        <v>46054</v>
      </c>
      <c r="J23" s="39" t="str">
        <f t="shared" si="1"/>
        <v>Finish Foils</v>
      </c>
    </row>
    <row r="24" spans="1:10" s="39" customFormat="1" x14ac:dyDescent="0.2">
      <c r="A24" s="39" t="str">
        <f t="shared" si="0"/>
        <v>Curitiba</v>
      </c>
      <c r="B24" s="39" t="str">
        <f>_xlfn.XLOOKUP(D24,Reunido!B:B,Reunido!A:A,"",0)</f>
        <v>SUNS01 / CENTURY SUNSHINE (SHOUGUANG) SPECIALTY PAPER CO., LTD.</v>
      </c>
      <c r="C24" s="39" t="str">
        <f>IF(D24&lt;&gt;0,IF(_xlfn.XLOOKUP(D24,Reunido!B:B,Reunido!BQ:BQ,"",0)="Print",$O$2,IF(_xlfn.XLOOKUP(D24,Reunido!B:B,Reunido!BQ:BQ,"",0)="IP",$O$3,IF(_xlfn.XLOOKUP(D24,Reunido!B:B,Reunido!BQ:BQ,"",0)="FF",$O$4,""))),"")</f>
        <v xml:space="preserve">Decorative Papers </v>
      </c>
      <c r="D24" s="39" t="s">
        <v>130</v>
      </c>
      <c r="E24" s="39" t="s">
        <v>131</v>
      </c>
      <c r="F24" s="86">
        <v>1870</v>
      </c>
      <c r="G24" s="41" cm="1">
        <f t="array" ref="G24">_xlfn.XLOOKUP(D24&amp;F24,Reunido!B:B&amp;Reunido!D:D,Reunido!O:O,"",1)</f>
        <v>102917</v>
      </c>
      <c r="H24" s="41" cm="1">
        <f t="array" ref="H24">_xlfn.XLOOKUP(D24&amp;F24,Reunido!B:B&amp;Reunido!D:D,Reunido!S:S,"",1)</f>
        <v>192766.17636519004</v>
      </c>
      <c r="I24" s="42">
        <v>46082</v>
      </c>
      <c r="J24" s="39" t="str">
        <f t="shared" si="1"/>
        <v xml:space="preserve">Decorative Papers </v>
      </c>
    </row>
    <row r="25" spans="1:10" s="39" customFormat="1" x14ac:dyDescent="0.2">
      <c r="A25" s="39" t="str">
        <f t="shared" si="0"/>
        <v>Curitiba</v>
      </c>
      <c r="B25" s="39" t="str">
        <f>_xlfn.XLOOKUP(D25,Reunido!B:B,Reunido!A:A,"",0)</f>
        <v>SUNS01 / CENTURY SUNSHINE (SHOUGUANG) SPECIALTY PAPER CO., LTD.</v>
      </c>
      <c r="C25" s="39" t="str">
        <f>IF(D25&lt;&gt;0,IF(_xlfn.XLOOKUP(D25,Reunido!B:B,Reunido!BQ:BQ,"",0)="Print",$O$2,IF(_xlfn.XLOOKUP(D25,Reunido!B:B,Reunido!BQ:BQ,"",0)="IP",$O$3,IF(_xlfn.XLOOKUP(D25,Reunido!B:B,Reunido!BQ:BQ,"",0)="FF",$O$4,""))),"")</f>
        <v>Impregnated Papers</v>
      </c>
      <c r="D25" s="39" t="s">
        <v>128</v>
      </c>
      <c r="E25" s="39" t="s">
        <v>129</v>
      </c>
      <c r="F25" s="86">
        <v>1855</v>
      </c>
      <c r="G25" s="41" cm="1">
        <f t="array" ref="G25">_xlfn.XLOOKUP(D25&amp;F25,Reunido!B:B&amp;Reunido!D:D,Reunido!O:O,"",1)</f>
        <v>374939</v>
      </c>
      <c r="H25" s="41" cm="1">
        <f t="array" ref="H25">_xlfn.XLOOKUP(D25&amp;F25,Reunido!B:B&amp;Reunido!D:D,Reunido!S:S,"",1)</f>
        <v>714213.04903933627</v>
      </c>
      <c r="I25" s="42">
        <v>46082</v>
      </c>
      <c r="J25" s="39" t="str">
        <f t="shared" si="1"/>
        <v>Impregnated Papers</v>
      </c>
    </row>
    <row r="26" spans="1:10" s="39" customFormat="1" x14ac:dyDescent="0.2">
      <c r="A26" s="39" t="str">
        <f t="shared" si="0"/>
        <v>Curitiba</v>
      </c>
      <c r="B26" s="39" t="str">
        <f>_xlfn.XLOOKUP(D26,Reunido!B:B,Reunido!A:A,"",0)</f>
        <v>HUAW01 / HANGZHOU HUAWANG NEW MATERIAL TECHNOLOGY CO.</v>
      </c>
      <c r="C26" s="39" t="str">
        <f>IF(D26&lt;&gt;0,IF(_xlfn.XLOOKUP(D26,Reunido!B:B,Reunido!BQ:BQ,"",0)="Print",$O$2,IF(_xlfn.XLOOKUP(D26,Reunido!B:B,Reunido!BQ:BQ,"",0)="IP",$O$3,IF(_xlfn.XLOOKUP(D26,Reunido!B:B,Reunido!BQ:BQ,"",0)="FF",$O$4,""))),"")</f>
        <v xml:space="preserve">Decorative Papers </v>
      </c>
      <c r="D26" s="39" t="s">
        <v>132</v>
      </c>
      <c r="E26" s="39" t="s">
        <v>133</v>
      </c>
      <c r="F26" s="86">
        <v>1860</v>
      </c>
      <c r="G26" s="41" cm="1">
        <f t="array" ref="G26">_xlfn.XLOOKUP(D26&amp;F26,Reunido!B:B&amp;Reunido!D:D,Reunido!O:O,"",1)</f>
        <v>2030</v>
      </c>
      <c r="H26" s="41" cm="1">
        <f t="array" ref="H26">_xlfn.XLOOKUP(D26&amp;F26,Reunido!B:B&amp;Reunido!D:D,Reunido!S:S,"",1)</f>
        <v>3167.8650384541165</v>
      </c>
      <c r="I26" s="42">
        <v>46082</v>
      </c>
      <c r="J26" s="39" t="str">
        <f t="shared" si="1"/>
        <v xml:space="preserve">Decorative Papers </v>
      </c>
    </row>
    <row r="27" spans="1:10" s="39" customFormat="1" x14ac:dyDescent="0.2">
      <c r="A27" s="39" t="str">
        <f t="shared" si="0"/>
        <v>Curitiba</v>
      </c>
      <c r="B27" s="39" t="str">
        <f>_xlfn.XLOOKUP(D27,Reunido!B:B,Reunido!A:A,"",0)</f>
        <v>CART01 / CARTIERE DI GUARCINO S.P.A. / ITA</v>
      </c>
      <c r="C27" s="39" t="str">
        <f>IF(D27&lt;&gt;0,IF(_xlfn.XLOOKUP(D27,Reunido!B:B,Reunido!BQ:BQ,"",0)="Print",$O$2,IF(_xlfn.XLOOKUP(D27,Reunido!B:B,Reunido!BQ:BQ,"",0)="IP",$O$3,IF(_xlfn.XLOOKUP(D27,Reunido!B:B,Reunido!BQ:BQ,"",0)="FF",$O$4,""))),"")</f>
        <v xml:space="preserve">Decorative Papers </v>
      </c>
      <c r="D27" s="39" t="s">
        <v>134</v>
      </c>
      <c r="E27" s="39" t="s">
        <v>135</v>
      </c>
      <c r="F27" s="86">
        <v>2060</v>
      </c>
      <c r="G27" s="41" cm="1">
        <f t="array" ref="G27">_xlfn.XLOOKUP(D27&amp;F27,Reunido!B:B&amp;Reunido!D:D,Reunido!O:O,"",1)</f>
        <v>1366</v>
      </c>
      <c r="H27" s="41" cm="1">
        <f t="array" ref="H27">_xlfn.XLOOKUP(D27&amp;F27,Reunido!B:B&amp;Reunido!D:D,Reunido!S:S,"",1)</f>
        <v>3060.8683187694683</v>
      </c>
      <c r="I27" s="42">
        <v>46082</v>
      </c>
      <c r="J27" s="39" t="str">
        <f t="shared" si="1"/>
        <v xml:space="preserve">Decorative Papers </v>
      </c>
    </row>
    <row r="28" spans="1:10" s="39" customFormat="1" x14ac:dyDescent="0.2">
      <c r="A28" s="39" t="str">
        <f t="shared" si="0"/>
        <v>Curitiba</v>
      </c>
      <c r="B28" s="39" t="str">
        <f>_xlfn.XLOOKUP(D28,Reunido!B:B,Reunido!A:A,"",0)</f>
        <v>KOEH02 / KOEHLER PAPER SE / DEU</v>
      </c>
      <c r="C28" s="39" t="str">
        <f>IF(D28&lt;&gt;0,IF(_xlfn.XLOOKUP(D28,Reunido!B:B,Reunido!BQ:BQ,"",0)="Print",$O$2,IF(_xlfn.XLOOKUP(D28,Reunido!B:B,Reunido!BQ:BQ,"",0)="IP",$O$3,IF(_xlfn.XLOOKUP(D28,Reunido!B:B,Reunido!BQ:BQ,"",0)="FF",$O$4,""))),"")</f>
        <v xml:space="preserve">Decorative Papers </v>
      </c>
      <c r="D28" s="39" t="s">
        <v>136</v>
      </c>
      <c r="E28" s="39" t="s">
        <v>137</v>
      </c>
      <c r="F28" s="86">
        <v>2060</v>
      </c>
      <c r="G28" s="41" cm="1">
        <f t="array" ref="G28">_xlfn.XLOOKUP(D28&amp;F28,Reunido!B:B&amp;Reunido!D:D,Reunido!O:O,"",1)</f>
        <v>2296</v>
      </c>
      <c r="H28" s="41" cm="1">
        <f t="array" ref="H28">_xlfn.XLOOKUP(D28&amp;F28,Reunido!B:B&amp;Reunido!D:D,Reunido!S:S,"",1)</f>
        <v>5282.5751853791653</v>
      </c>
      <c r="I28" s="42">
        <v>46082</v>
      </c>
      <c r="J28" s="39" t="str">
        <f t="shared" si="1"/>
        <v xml:space="preserve">Decorative Papers </v>
      </c>
    </row>
    <row r="29" spans="1:10" s="39" customFormat="1" x14ac:dyDescent="0.2">
      <c r="A29" s="39" t="str">
        <f t="shared" si="0"/>
        <v>Curitiba</v>
      </c>
      <c r="B29" s="39" t="str">
        <f>_xlfn.XLOOKUP(D29,Reunido!B:B,Reunido!A:A,"",0)</f>
        <v>KOEH02 / KOEHLER PAPER SE / DEU</v>
      </c>
      <c r="C29" s="39" t="str">
        <f>IF(D29&lt;&gt;0,IF(_xlfn.XLOOKUP(D29,Reunido!B:B,Reunido!BQ:BQ,"",0)="Print",$O$2,IF(_xlfn.XLOOKUP(D29,Reunido!B:B,Reunido!BQ:BQ,"",0)="IP",$O$3,IF(_xlfn.XLOOKUP(D29,Reunido!B:B,Reunido!BQ:BQ,"",0)="FF",$O$4,""))),"")</f>
        <v xml:space="preserve">Decorative Papers </v>
      </c>
      <c r="D29" s="39" t="s">
        <v>138</v>
      </c>
      <c r="E29" s="39" t="s">
        <v>139</v>
      </c>
      <c r="F29" s="86">
        <v>1870</v>
      </c>
      <c r="G29" s="41" cm="1">
        <f t="array" ref="G29">_xlfn.XLOOKUP(D29&amp;F29,Reunido!B:B&amp;Reunido!D:D,Reunido!O:O,"",1)</f>
        <v>99116</v>
      </c>
      <c r="H29" s="41" cm="1">
        <f t="array" ref="H29">_xlfn.XLOOKUP(D29&amp;F29,Reunido!B:B&amp;Reunido!D:D,Reunido!S:S,"",1)</f>
        <v>203383.09672795434</v>
      </c>
      <c r="I29" s="42">
        <v>46082</v>
      </c>
      <c r="J29" s="39" t="str">
        <f t="shared" si="1"/>
        <v xml:space="preserve">Decorative Papers </v>
      </c>
    </row>
    <row r="30" spans="1:10" s="39" customFormat="1" x14ac:dyDescent="0.2">
      <c r="A30" s="39" t="str">
        <f t="shared" si="0"/>
        <v>Curitiba</v>
      </c>
      <c r="B30" s="39" t="str">
        <f>_xlfn.XLOOKUP(D30,Reunido!B:B,Reunido!A:A,"",0)</f>
        <v>KOEH02 / KOEHLER PAPER SE / DEU</v>
      </c>
      <c r="C30" s="39" t="str">
        <f>IF(D30&lt;&gt;0,IF(_xlfn.XLOOKUP(D30,Reunido!B:B,Reunido!BQ:BQ,"",0)="Print",$O$2,IF(_xlfn.XLOOKUP(D30,Reunido!B:B,Reunido!BQ:BQ,"",0)="IP",$O$3,IF(_xlfn.XLOOKUP(D30,Reunido!B:B,Reunido!BQ:BQ,"",0)="FF",$O$4,""))),"")</f>
        <v xml:space="preserve">Decorative Papers </v>
      </c>
      <c r="D30" s="39" t="s">
        <v>140</v>
      </c>
      <c r="E30" s="39" t="s">
        <v>141</v>
      </c>
      <c r="F30" s="86">
        <v>1870</v>
      </c>
      <c r="G30" s="41" cm="1">
        <f t="array" ref="G30">_xlfn.XLOOKUP(D30&amp;F30,Reunido!B:B&amp;Reunido!D:D,Reunido!O:O,"",1)</f>
        <v>25900</v>
      </c>
      <c r="H30" s="41" cm="1">
        <f t="array" ref="H30">_xlfn.XLOOKUP(D30&amp;F30,Reunido!B:B&amp;Reunido!D:D,Reunido!S:S,"",1)</f>
        <v>44562.980952118422</v>
      </c>
      <c r="I30" s="42">
        <v>46082</v>
      </c>
      <c r="J30" s="39" t="str">
        <f t="shared" si="1"/>
        <v xml:space="preserve">Decorative Papers </v>
      </c>
    </row>
    <row r="31" spans="1:10" s="39" customFormat="1" x14ac:dyDescent="0.2">
      <c r="A31" s="39" t="str">
        <f t="shared" si="0"/>
        <v>Curitiba</v>
      </c>
      <c r="B31" s="39" t="str">
        <f>_xlfn.XLOOKUP(D31,Reunido!B:B,Reunido!A:A,"",0)</f>
        <v>MALT01 / MALTA-DECOR SP. Z O. O. / POL</v>
      </c>
      <c r="C31" s="39" t="str">
        <f>IF(D31&lt;&gt;0,IF(_xlfn.XLOOKUP(D31,Reunido!B:B,Reunido!BQ:BQ,"",0)="Print",$O$2,IF(_xlfn.XLOOKUP(D31,Reunido!B:B,Reunido!BQ:BQ,"",0)="IP",$O$3,IF(_xlfn.XLOOKUP(D31,Reunido!B:B,Reunido!BQ:BQ,"",0)="FF",$O$4,""))),"")</f>
        <v xml:space="preserve">Decorative Papers </v>
      </c>
      <c r="D31" s="39" t="s">
        <v>142</v>
      </c>
      <c r="E31" s="39" t="s">
        <v>143</v>
      </c>
      <c r="F31" s="86">
        <v>1870</v>
      </c>
      <c r="G31" s="41" cm="1">
        <f t="array" ref="G31">_xlfn.XLOOKUP(D31&amp;F31,Reunido!B:B&amp;Reunido!D:D,Reunido!O:O,"",1)</f>
        <v>60282</v>
      </c>
      <c r="H31" s="41" cm="1">
        <f t="array" ref="H31">_xlfn.XLOOKUP(D31&amp;F31,Reunido!B:B&amp;Reunido!D:D,Reunido!S:S,"",1)</f>
        <v>155011.33721090495</v>
      </c>
      <c r="I31" s="42">
        <v>46082</v>
      </c>
      <c r="J31" s="39" t="str">
        <f t="shared" si="1"/>
        <v xml:space="preserve">Decorative Papers </v>
      </c>
    </row>
    <row r="32" spans="1:10" s="39" customFormat="1" x14ac:dyDescent="0.2">
      <c r="A32" s="39" t="str">
        <f t="shared" si="0"/>
        <v>Curitiba</v>
      </c>
      <c r="B32" s="39" t="str">
        <f>_xlfn.XLOOKUP(D32,Reunido!B:B,Reunido!A:A,"",0)</f>
        <v>MLTV01 / VF PAPEIS S.A. / BRA</v>
      </c>
      <c r="C32" s="39" t="str">
        <f>IF(D32&lt;&gt;0,IF(_xlfn.XLOOKUP(D32,Reunido!B:B,Reunido!BQ:BQ,"",0)="Print",$O$2,IF(_xlfn.XLOOKUP(D32,Reunido!B:B,Reunido!BQ:BQ,"",0)="IP",$O$3,IF(_xlfn.XLOOKUP(D32,Reunido!B:B,Reunido!BQ:BQ,"",0)="FF",$O$4,""))),"")</f>
        <v>Finish Foils</v>
      </c>
      <c r="D32" s="39" t="s">
        <v>144</v>
      </c>
      <c r="E32" s="39" t="s">
        <v>145</v>
      </c>
      <c r="F32" s="86">
        <v>1900</v>
      </c>
      <c r="G32" s="41" cm="1">
        <f t="array" ref="G32">_xlfn.XLOOKUP(D32&amp;F32,Reunido!B:B&amp;Reunido!D:D,Reunido!O:O,"",1)</f>
        <v>53054</v>
      </c>
      <c r="H32" s="41" cm="1">
        <f t="array" ref="H32">_xlfn.XLOOKUP(D32&amp;F32,Reunido!B:B&amp;Reunido!D:D,Reunido!S:S,"",1)</f>
        <v>217773.54687543071</v>
      </c>
      <c r="I32" s="42">
        <v>46082</v>
      </c>
      <c r="J32" s="39" t="str">
        <f t="shared" si="1"/>
        <v>Finish Foils</v>
      </c>
    </row>
    <row r="33" spans="1:10" s="39" customFormat="1" x14ac:dyDescent="0.2">
      <c r="A33" s="39" t="str">
        <f t="shared" si="0"/>
        <v>Curitiba</v>
      </c>
      <c r="B33" s="39" t="str">
        <f>_xlfn.XLOOKUP(D33,Reunido!B:B,Reunido!A:A,"",0)</f>
        <v>MLTV01 / VF PAPEIS S.A. / BRA</v>
      </c>
      <c r="C33" s="39" t="str">
        <f>IF(D33&lt;&gt;0,IF(_xlfn.XLOOKUP(D33,Reunido!B:B,Reunido!BQ:BQ,"",0)="Print",$O$2,IF(_xlfn.XLOOKUP(D33,Reunido!B:B,Reunido!BQ:BQ,"",0)="IP",$O$3,IF(_xlfn.XLOOKUP(D33,Reunido!B:B,Reunido!BQ:BQ,"",0)="FF",$O$4,""))),"")</f>
        <v>Finish Foils</v>
      </c>
      <c r="D33" s="39" t="s">
        <v>146</v>
      </c>
      <c r="E33" s="39" t="s">
        <v>147</v>
      </c>
      <c r="F33" s="86">
        <v>1900</v>
      </c>
      <c r="G33" s="41" cm="1">
        <f t="array" ref="G33">_xlfn.XLOOKUP(D33&amp;F33,Reunido!B:B&amp;Reunido!D:D,Reunido!O:O,"",1)</f>
        <v>14794</v>
      </c>
      <c r="H33" s="41" cm="1">
        <f t="array" ref="H33">_xlfn.XLOOKUP(D33&amp;F33,Reunido!B:B&amp;Reunido!D:D,Reunido!S:S,"",1)</f>
        <v>45606.202276924771</v>
      </c>
      <c r="I33" s="42">
        <v>46082</v>
      </c>
      <c r="J33" s="39" t="str">
        <f t="shared" si="1"/>
        <v>Finish Foils</v>
      </c>
    </row>
    <row r="34" spans="1:10" s="39" customFormat="1" x14ac:dyDescent="0.2">
      <c r="A34" s="39" t="str">
        <f t="shared" si="0"/>
        <v>Curitiba</v>
      </c>
      <c r="B34" s="39" t="str">
        <f>_xlfn.XLOOKUP(D34,Reunido!B:B,Reunido!A:A,"",0)</f>
        <v>MLTV01 / VF PAPEIS S.A. / BRA</v>
      </c>
      <c r="C34" s="39" t="str">
        <f>IF(D34&lt;&gt;0,IF(_xlfn.XLOOKUP(D34,Reunido!B:B,Reunido!BQ:BQ,"",0)="Print",$O$2,IF(_xlfn.XLOOKUP(D34,Reunido!B:B,Reunido!BQ:BQ,"",0)="IP",$O$3,IF(_xlfn.XLOOKUP(D34,Reunido!B:B,Reunido!BQ:BQ,"",0)="FF",$O$4,""))),"")</f>
        <v>Finish Foils</v>
      </c>
      <c r="D34" s="39" t="s">
        <v>148</v>
      </c>
      <c r="E34" s="39" t="s">
        <v>149</v>
      </c>
      <c r="F34" s="86">
        <v>1900</v>
      </c>
      <c r="G34" s="41" cm="1">
        <f t="array" ref="G34">_xlfn.XLOOKUP(D34&amp;F34,Reunido!B:B&amp;Reunido!D:D,Reunido!O:O,"",1)</f>
        <v>15704</v>
      </c>
      <c r="H34" s="41" cm="1">
        <f t="array" ref="H34">_xlfn.XLOOKUP(D34&amp;F34,Reunido!B:B&amp;Reunido!D:D,Reunido!S:S,"",1)</f>
        <v>42216.985417757802</v>
      </c>
      <c r="I34" s="42">
        <v>46082</v>
      </c>
      <c r="J34" s="39" t="str">
        <f t="shared" si="1"/>
        <v>Finish Foils</v>
      </c>
    </row>
    <row r="35" spans="1:10" s="39" customFormat="1" x14ac:dyDescent="0.2">
      <c r="A35" s="39" t="str">
        <f t="shared" si="0"/>
        <v>Curitiba</v>
      </c>
      <c r="B35" s="39" t="str">
        <f>_xlfn.XLOOKUP(D35,Reunido!B:B,Reunido!A:A,"",0)</f>
        <v>MLTV01 / VF PAPEIS S.A. / BRA</v>
      </c>
      <c r="C35" s="39" t="str">
        <f>IF(D35&lt;&gt;0,IF(_xlfn.XLOOKUP(D35,Reunido!B:B,Reunido!BQ:BQ,"",0)="Print",$O$2,IF(_xlfn.XLOOKUP(D35,Reunido!B:B,Reunido!BQ:BQ,"",0)="IP",$O$3,IF(_xlfn.XLOOKUP(D35,Reunido!B:B,Reunido!BQ:BQ,"",0)="FF",$O$4,""))),"")</f>
        <v>Finish Foils</v>
      </c>
      <c r="D35" s="39" t="s">
        <v>150</v>
      </c>
      <c r="E35" s="39" t="s">
        <v>151</v>
      </c>
      <c r="F35" s="86">
        <v>1900</v>
      </c>
      <c r="G35" s="41" cm="1">
        <f t="array" ref="G35">_xlfn.XLOOKUP(D35&amp;F35,Reunido!B:B&amp;Reunido!D:D,Reunido!O:O,"",1)</f>
        <v>12744</v>
      </c>
      <c r="H35" s="41" cm="1">
        <f t="array" ref="H35">_xlfn.XLOOKUP(D35&amp;F35,Reunido!B:B&amp;Reunido!D:D,Reunido!S:S,"",1)</f>
        <v>46534.109215205222</v>
      </c>
      <c r="I35" s="42">
        <v>46082</v>
      </c>
      <c r="J35" s="39" t="str">
        <f t="shared" si="1"/>
        <v>Finish Foils</v>
      </c>
    </row>
    <row r="36" spans="1:10" s="39" customFormat="1" x14ac:dyDescent="0.2">
      <c r="A36" s="39" t="str">
        <f t="shared" si="0"/>
        <v>Curitiba</v>
      </c>
      <c r="B36" s="39" t="str">
        <f>_xlfn.XLOOKUP(D36,Reunido!B:B,Reunido!A:A,"",0)</f>
        <v>MUNK04 / MUNKSJO PAPER S/A DETTINGEN / DEU</v>
      </c>
      <c r="C36" s="39" t="str">
        <f>IF(D36&lt;&gt;0,IF(_xlfn.XLOOKUP(D36,Reunido!B:B,Reunido!BQ:BQ,"",0)="Print",$O$2,IF(_xlfn.XLOOKUP(D36,Reunido!B:B,Reunido!BQ:BQ,"",0)="IP",$O$3,IF(_xlfn.XLOOKUP(D36,Reunido!B:B,Reunido!BQ:BQ,"",0)="FF",$O$4,""))),"")</f>
        <v>Finish Foils</v>
      </c>
      <c r="D36" s="39" t="s">
        <v>152</v>
      </c>
      <c r="E36" s="39" t="s">
        <v>153</v>
      </c>
      <c r="F36" s="86">
        <v>1880</v>
      </c>
      <c r="G36" s="41" cm="1">
        <f t="array" ref="G36">_xlfn.XLOOKUP(D36&amp;F36,Reunido!B:B&amp;Reunido!D:D,Reunido!O:O,"",1)</f>
        <v>9768</v>
      </c>
      <c r="H36" s="41" cm="1">
        <f t="array" ref="H36">_xlfn.XLOOKUP(D36&amp;F36,Reunido!B:B&amp;Reunido!D:D,Reunido!S:S,"",1)</f>
        <v>28727.577252804804</v>
      </c>
      <c r="I36" s="42">
        <v>46082</v>
      </c>
      <c r="J36" s="39" t="str">
        <f t="shared" si="1"/>
        <v>Finish Foils</v>
      </c>
    </row>
    <row r="37" spans="1:10" s="39" customFormat="1" x14ac:dyDescent="0.2">
      <c r="A37" s="39" t="str">
        <f t="shared" si="0"/>
        <v>Curitiba</v>
      </c>
      <c r="B37" s="39" t="str">
        <f>_xlfn.XLOOKUP(D37,Reunido!B:B,Reunido!A:A,"",0)</f>
        <v>MUNK04 / MUNKSJO PAPER S/A DETTINGEN / DEU</v>
      </c>
      <c r="C37" s="39" t="str">
        <f>IF(D37&lt;&gt;0,IF(_xlfn.XLOOKUP(D37,Reunido!B:B,Reunido!BQ:BQ,"",0)="Print",$O$2,IF(_xlfn.XLOOKUP(D37,Reunido!B:B,Reunido!BQ:BQ,"",0)="IP",$O$3,IF(_xlfn.XLOOKUP(D37,Reunido!B:B,Reunido!BQ:BQ,"",0)="FF",$O$4,""))),"")</f>
        <v>Finish Foils</v>
      </c>
      <c r="D37" s="39" t="s">
        <v>154</v>
      </c>
      <c r="E37" s="39" t="s">
        <v>155</v>
      </c>
      <c r="F37" s="86">
        <v>1880</v>
      </c>
      <c r="G37" s="41" cm="1">
        <f t="array" ref="G37">_xlfn.XLOOKUP(D37&amp;F37,Reunido!B:B&amp;Reunido!D:D,Reunido!O:O,"",1)</f>
        <v>38638</v>
      </c>
      <c r="H37" s="41" cm="1">
        <f t="array" ref="H37">_xlfn.XLOOKUP(D37&amp;F37,Reunido!B:B&amp;Reunido!D:D,Reunido!S:S,"",1)</f>
        <v>102811.64484384046</v>
      </c>
      <c r="I37" s="42">
        <v>46082</v>
      </c>
      <c r="J37" s="39" t="str">
        <f t="shared" si="1"/>
        <v>Finish Foils</v>
      </c>
    </row>
    <row r="38" spans="1:10" s="39" customFormat="1" x14ac:dyDescent="0.2">
      <c r="A38" s="39" t="str">
        <f t="shared" si="0"/>
        <v>Curitiba</v>
      </c>
      <c r="B38" s="39" t="str">
        <f>_xlfn.XLOOKUP(D38,Reunido!B:B,Reunido!A:A,"",0)</f>
        <v>MUNK07 / MUNKSJO TOLOSA S.A.U.  / ESP</v>
      </c>
      <c r="C38" s="39" t="str">
        <f>IF(D38&lt;&gt;0,IF(_xlfn.XLOOKUP(D38,Reunido!B:B,Reunido!BQ:BQ,"",0)="Print",$O$2,IF(_xlfn.XLOOKUP(D38,Reunido!B:B,Reunido!BQ:BQ,"",0)="IP",$O$3,IF(_xlfn.XLOOKUP(D38,Reunido!B:B,Reunido!BQ:BQ,"",0)="FF",$O$4,""))),"")</f>
        <v xml:space="preserve">Decorative Papers </v>
      </c>
      <c r="D38" s="39" t="s">
        <v>156</v>
      </c>
      <c r="E38" s="39" t="s">
        <v>157</v>
      </c>
      <c r="F38" s="86">
        <v>1860</v>
      </c>
      <c r="G38" s="41" cm="1">
        <f t="array" ref="G38">_xlfn.XLOOKUP(D38&amp;F38,Reunido!B:B&amp;Reunido!D:D,Reunido!O:O,"",1)</f>
        <v>49744</v>
      </c>
      <c r="H38" s="41" cm="1">
        <f t="array" ref="H38">_xlfn.XLOOKUP(D38&amp;F38,Reunido!B:B&amp;Reunido!D:D,Reunido!S:S,"",1)</f>
        <v>89071.706039639437</v>
      </c>
      <c r="I38" s="42">
        <v>46082</v>
      </c>
      <c r="J38" s="39" t="str">
        <f t="shared" si="1"/>
        <v xml:space="preserve">Decorative Papers </v>
      </c>
    </row>
    <row r="39" spans="1:10" s="39" customFormat="1" x14ac:dyDescent="0.2">
      <c r="A39" s="39" t="str">
        <f t="shared" si="0"/>
        <v>Curitiba</v>
      </c>
      <c r="B39" s="39" t="str">
        <f>_xlfn.XLOOKUP(D39,Reunido!B:B,Reunido!A:A,"",0)</f>
        <v>MUNK07 / MUNKSJO TOLOSA S.A.U.  / ESP</v>
      </c>
      <c r="C39" s="39" t="str">
        <f>IF(D39&lt;&gt;0,IF(_xlfn.XLOOKUP(D39,Reunido!B:B,Reunido!BQ:BQ,"",0)="Print",$O$2,IF(_xlfn.XLOOKUP(D39,Reunido!B:B,Reunido!BQ:BQ,"",0)="IP",$O$3,IF(_xlfn.XLOOKUP(D39,Reunido!B:B,Reunido!BQ:BQ,"",0)="FF",$O$4,""))),"")</f>
        <v xml:space="preserve">Decorative Papers </v>
      </c>
      <c r="D39" s="39" t="s">
        <v>158</v>
      </c>
      <c r="E39" s="39" t="s">
        <v>159</v>
      </c>
      <c r="F39" s="86">
        <v>1870</v>
      </c>
      <c r="G39" s="41" cm="1">
        <f t="array" ref="G39">_xlfn.XLOOKUP(D39&amp;F39,Reunido!B:B&amp;Reunido!D:D,Reunido!O:O,"",1)</f>
        <v>24477</v>
      </c>
      <c r="H39" s="41" cm="1">
        <f t="array" ref="H39">_xlfn.XLOOKUP(D39&amp;F39,Reunido!B:B&amp;Reunido!D:D,Reunido!S:S,"",1)</f>
        <v>44671.439755216794</v>
      </c>
      <c r="I39" s="42">
        <v>46082</v>
      </c>
      <c r="J39" s="39" t="str">
        <f t="shared" si="1"/>
        <v xml:space="preserve">Decorative Papers </v>
      </c>
    </row>
    <row r="40" spans="1:10" s="39" customFormat="1" x14ac:dyDescent="0.2">
      <c r="A40" s="39" t="str">
        <f t="shared" si="0"/>
        <v>Curitiba</v>
      </c>
      <c r="B40" s="39" t="str">
        <f>_xlfn.XLOOKUP(D40,Reunido!B:B,Reunido!A:A,"",0)</f>
        <v>MUNK09 / MUNKSJO CAIEIRAS LTDA / BRA</v>
      </c>
      <c r="C40" s="39" t="str">
        <f>IF(D40&lt;&gt;0,IF(_xlfn.XLOOKUP(D40,Reunido!B:B,Reunido!BQ:BQ,"",0)="Print",$O$2,IF(_xlfn.XLOOKUP(D40,Reunido!B:B,Reunido!BQ:BQ,"",0)="IP",$O$3,IF(_xlfn.XLOOKUP(D40,Reunido!B:B,Reunido!BQ:BQ,"",0)="FF",$O$4,""))),"")</f>
        <v xml:space="preserve">Decorative Papers </v>
      </c>
      <c r="D40" s="39" t="s">
        <v>162</v>
      </c>
      <c r="E40" s="39" t="s">
        <v>163</v>
      </c>
      <c r="F40" s="86">
        <v>1870</v>
      </c>
      <c r="G40" s="41" cm="1">
        <f t="array" ref="G40">_xlfn.XLOOKUP(D40&amp;F40,Reunido!B:B&amp;Reunido!D:D,Reunido!O:O,"",1)</f>
        <v>32445</v>
      </c>
      <c r="H40" s="41" cm="1">
        <f t="array" ref="H40">_xlfn.XLOOKUP(D40&amp;F40,Reunido!B:B&amp;Reunido!D:D,Reunido!S:S,"",1)</f>
        <v>93446.214957135366</v>
      </c>
      <c r="I40" s="42">
        <v>46082</v>
      </c>
      <c r="J40" s="39" t="str">
        <f t="shared" si="1"/>
        <v xml:space="preserve">Decorative Papers </v>
      </c>
    </row>
    <row r="41" spans="1:10" s="39" customFormat="1" x14ac:dyDescent="0.2">
      <c r="A41" s="39" t="str">
        <f t="shared" si="0"/>
        <v>Curitiba</v>
      </c>
      <c r="B41" s="39" t="str">
        <f>_xlfn.XLOOKUP(D41,Reunido!B:B,Reunido!A:A,"",0)</f>
        <v>MUNK09 / MUNKSJO CAIEIRAS LTDA / BRA</v>
      </c>
      <c r="C41" s="39" t="str">
        <f>IF(D41&lt;&gt;0,IF(_xlfn.XLOOKUP(D41,Reunido!B:B,Reunido!BQ:BQ,"",0)="Print",$O$2,IF(_xlfn.XLOOKUP(D41,Reunido!B:B,Reunido!BQ:BQ,"",0)="IP",$O$3,IF(_xlfn.XLOOKUP(D41,Reunido!B:B,Reunido!BQ:BQ,"",0)="FF",$O$4,""))),"")</f>
        <v xml:space="preserve">Decorative Papers </v>
      </c>
      <c r="D41" s="39" t="s">
        <v>162</v>
      </c>
      <c r="E41" s="39" t="s">
        <v>163</v>
      </c>
      <c r="F41" s="86">
        <v>2175</v>
      </c>
      <c r="G41" s="41" cm="1">
        <f t="array" ref="G41">_xlfn.XLOOKUP(D41&amp;F41,Reunido!B:B&amp;Reunido!D:D,Reunido!O:O,"",1)</f>
        <v>20165</v>
      </c>
      <c r="H41" s="41" cm="1">
        <f t="array" ref="H41">_xlfn.XLOOKUP(D41&amp;F41,Reunido!B:B&amp;Reunido!D:D,Reunido!S:S,"",1)</f>
        <v>58078.06819748049</v>
      </c>
      <c r="I41" s="42">
        <v>46082</v>
      </c>
      <c r="J41" s="39" t="str">
        <f t="shared" si="1"/>
        <v xml:space="preserve">Decorative Papers </v>
      </c>
    </row>
    <row r="42" spans="1:10" s="39" customFormat="1" x14ac:dyDescent="0.2">
      <c r="A42" s="39" t="str">
        <f t="shared" si="0"/>
        <v>Curitiba</v>
      </c>
      <c r="B42" s="39" t="str">
        <f>_xlfn.XLOOKUP(D42,Reunido!B:B,Reunido!A:A,"",0)</f>
        <v>MUNK09 / MUNKSJO CAIEIRAS LTDA / BRA</v>
      </c>
      <c r="C42" s="39" t="str">
        <f>IF(D42&lt;&gt;0,IF(_xlfn.XLOOKUP(D42,Reunido!B:B,Reunido!BQ:BQ,"",0)="Print",$O$2,IF(_xlfn.XLOOKUP(D42,Reunido!B:B,Reunido!BQ:BQ,"",0)="IP",$O$3,IF(_xlfn.XLOOKUP(D42,Reunido!B:B,Reunido!BQ:BQ,"",0)="FF",$O$4,""))),"")</f>
        <v xml:space="preserve">Decorative Papers </v>
      </c>
      <c r="D42" s="39" t="s">
        <v>164</v>
      </c>
      <c r="E42" s="39" t="s">
        <v>165</v>
      </c>
      <c r="F42" s="86">
        <v>1270</v>
      </c>
      <c r="G42" s="41" cm="1">
        <f t="array" ref="G42">_xlfn.XLOOKUP(D42&amp;F42,Reunido!B:B&amp;Reunido!D:D,Reunido!O:O,"",1)</f>
        <v>18965</v>
      </c>
      <c r="H42" s="41" cm="1">
        <f t="array" ref="H42">_xlfn.XLOOKUP(D42&amp;F42,Reunido!B:B&amp;Reunido!D:D,Reunido!S:S,"",1)</f>
        <v>72638.244066488405</v>
      </c>
      <c r="I42" s="42">
        <v>46082</v>
      </c>
      <c r="J42" s="39" t="str">
        <f t="shared" si="1"/>
        <v xml:space="preserve">Decorative Papers </v>
      </c>
    </row>
    <row r="43" spans="1:10" s="39" customFormat="1" x14ac:dyDescent="0.2">
      <c r="A43" s="39" t="str">
        <f t="shared" si="0"/>
        <v>Curitiba</v>
      </c>
      <c r="B43" s="39" t="str">
        <f>_xlfn.XLOOKUP(D43,Reunido!B:B,Reunido!A:A,"",0)</f>
        <v>MUNK09 / MUNKSJO CAIEIRAS LTDA / BRA</v>
      </c>
      <c r="C43" s="39" t="str">
        <f>IF(D43&lt;&gt;0,IF(_xlfn.XLOOKUP(D43,Reunido!B:B,Reunido!BQ:BQ,"",0)="Print",$O$2,IF(_xlfn.XLOOKUP(D43,Reunido!B:B,Reunido!BQ:BQ,"",0)="IP",$O$3,IF(_xlfn.XLOOKUP(D43,Reunido!B:B,Reunido!BQ:BQ,"",0)="FF",$O$4,""))),"")</f>
        <v xml:space="preserve">Decorative Papers </v>
      </c>
      <c r="D43" s="39" t="s">
        <v>166</v>
      </c>
      <c r="E43" s="39" t="s">
        <v>167</v>
      </c>
      <c r="F43" s="86">
        <v>1870</v>
      </c>
      <c r="G43" s="41" cm="1">
        <f t="array" ref="G43">_xlfn.XLOOKUP(D43&amp;F43,Reunido!B:B&amp;Reunido!D:D,Reunido!O:O,"",1)</f>
        <v>25581</v>
      </c>
      <c r="H43" s="41" cm="1">
        <f t="array" ref="H43">_xlfn.XLOOKUP(D43&amp;F43,Reunido!B:B&amp;Reunido!D:D,Reunido!S:S,"",1)</f>
        <v>92504.252832373124</v>
      </c>
      <c r="I43" s="42">
        <v>46082</v>
      </c>
      <c r="J43" s="39" t="str">
        <f t="shared" si="1"/>
        <v xml:space="preserve">Decorative Papers </v>
      </c>
    </row>
    <row r="44" spans="1:10" s="39" customFormat="1" x14ac:dyDescent="0.2">
      <c r="A44" s="39" t="str">
        <f t="shared" si="0"/>
        <v>Curitiba</v>
      </c>
      <c r="B44" s="39" t="str">
        <f>_xlfn.XLOOKUP(D44,Reunido!B:B,Reunido!A:A,"",0)</f>
        <v>MUNK09 / MUNKSJO CAIEIRAS LTDA / BRA</v>
      </c>
      <c r="C44" s="39" t="str">
        <f>IF(D44&lt;&gt;0,IF(_xlfn.XLOOKUP(D44,Reunido!B:B,Reunido!BQ:BQ,"",0)="Print",$O$2,IF(_xlfn.XLOOKUP(D44,Reunido!B:B,Reunido!BQ:BQ,"",0)="IP",$O$3,IF(_xlfn.XLOOKUP(D44,Reunido!B:B,Reunido!BQ:BQ,"",0)="FF",$O$4,""))),"")</f>
        <v>Impregnated Papers</v>
      </c>
      <c r="D44" s="39" t="s">
        <v>160</v>
      </c>
      <c r="E44" s="39" t="s">
        <v>161</v>
      </c>
      <c r="F44" s="86">
        <v>1855</v>
      </c>
      <c r="G44" s="41" cm="1">
        <f t="array" ref="G44">_xlfn.XLOOKUP(D44&amp;F44,Reunido!B:B&amp;Reunido!D:D,Reunido!O:O,"",1)</f>
        <v>5399</v>
      </c>
      <c r="H44" s="41" cm="1">
        <f t="array" ref="H44">_xlfn.XLOOKUP(D44&amp;F44,Reunido!B:B&amp;Reunido!D:D,Reunido!S:S,"",1)</f>
        <v>20462.128621440581</v>
      </c>
      <c r="I44" s="42">
        <v>46082</v>
      </c>
      <c r="J44" s="39" t="str">
        <f t="shared" si="1"/>
        <v>Impregnated Papers</v>
      </c>
    </row>
    <row r="45" spans="1:10" s="39" customFormat="1" x14ac:dyDescent="0.2">
      <c r="A45" s="39" t="str">
        <f t="shared" si="0"/>
        <v>Curitiba</v>
      </c>
      <c r="B45" s="39" t="str">
        <f>_xlfn.XLOOKUP(D45,Reunido!B:B,Reunido!A:A,"",0)</f>
        <v>TECH01 / Felix Schoeller GmbH &amp; Co. / DEU</v>
      </c>
      <c r="C45" s="39" t="str">
        <f>IF(D45&lt;&gt;0,IF(_xlfn.XLOOKUP(D45,Reunido!B:B,Reunido!BQ:BQ,"",0)="Print",$O$2,IF(_xlfn.XLOOKUP(D45,Reunido!B:B,Reunido!BQ:BQ,"",0)="IP",$O$3,IF(_xlfn.XLOOKUP(D45,Reunido!B:B,Reunido!BQ:BQ,"",0)="FF",$O$4,""))),"")</f>
        <v xml:space="preserve">Decorative Papers </v>
      </c>
      <c r="D45" s="39" t="s">
        <v>168</v>
      </c>
      <c r="E45" s="39" t="s">
        <v>169</v>
      </c>
      <c r="F45" s="86">
        <v>1870</v>
      </c>
      <c r="G45" s="41" cm="1">
        <f t="array" ref="G45">_xlfn.XLOOKUP(D45&amp;F45,Reunido!B:B&amp;Reunido!D:D,Reunido!O:O,"",1)</f>
        <v>45349</v>
      </c>
      <c r="H45" s="41" cm="1">
        <f t="array" ref="H45">_xlfn.XLOOKUP(D45&amp;F45,Reunido!B:B&amp;Reunido!D:D,Reunido!S:S,"",1)</f>
        <v>119703.66017035587</v>
      </c>
      <c r="I45" s="42">
        <v>46082</v>
      </c>
      <c r="J45" s="39" t="str">
        <f t="shared" si="1"/>
        <v xml:space="preserve">Decorative Papers </v>
      </c>
    </row>
    <row r="46" spans="1:10" s="39" customFormat="1" x14ac:dyDescent="0.2">
      <c r="A46" s="39" t="str">
        <f t="shared" si="0"/>
        <v>Curitiba</v>
      </c>
      <c r="B46" s="39" t="str">
        <f>_xlfn.XLOOKUP(D46,Reunido!B:B,Reunido!A:A,"",0)</f>
        <v>TECH01 / Felix Schoeller GmbH &amp; Co. / DEU</v>
      </c>
      <c r="C46" s="39" t="str">
        <f>IF(D46&lt;&gt;0,IF(_xlfn.XLOOKUP(D46,Reunido!B:B,Reunido!BQ:BQ,"",0)="Print",$O$2,IF(_xlfn.XLOOKUP(D46,Reunido!B:B,Reunido!BQ:BQ,"",0)="IP",$O$3,IF(_xlfn.XLOOKUP(D46,Reunido!B:B,Reunido!BQ:BQ,"",0)="FF",$O$4,""))),"")</f>
        <v xml:space="preserve">Decorative Papers </v>
      </c>
      <c r="D46" s="39" t="s">
        <v>170</v>
      </c>
      <c r="E46" s="39" t="s">
        <v>171</v>
      </c>
      <c r="F46" s="86">
        <v>1870</v>
      </c>
      <c r="G46" s="41" cm="1">
        <f t="array" ref="G46">_xlfn.XLOOKUP(D46&amp;F46,Reunido!B:B&amp;Reunido!D:D,Reunido!O:O,"",1)</f>
        <v>22741</v>
      </c>
      <c r="H46" s="41" cm="1">
        <f t="array" ref="H46">_xlfn.XLOOKUP(D46&amp;F46,Reunido!B:B&amp;Reunido!D:D,Reunido!S:S,"",1)</f>
        <v>63923.700967555189</v>
      </c>
      <c r="I46" s="42">
        <v>46082</v>
      </c>
      <c r="J46" s="39" t="str">
        <f t="shared" si="1"/>
        <v xml:space="preserve">Decorative Papers </v>
      </c>
    </row>
    <row r="47" spans="1:10" s="39" customFormat="1" x14ac:dyDescent="0.2">
      <c r="A47" s="39" t="str">
        <f t="shared" si="0"/>
        <v>Curitiba</v>
      </c>
      <c r="B47" s="39" t="str">
        <f>_xlfn.XLOOKUP(D47,Reunido!B:B,Reunido!A:A,"",0)</f>
        <v>TECH01 / Felix Schoeller GmbH &amp; Co. / DEU</v>
      </c>
      <c r="C47" s="39" t="str">
        <f>IF(D47&lt;&gt;0,IF(_xlfn.XLOOKUP(D47,Reunido!B:B,Reunido!BQ:BQ,"",0)="Print",$O$2,IF(_xlfn.XLOOKUP(D47,Reunido!B:B,Reunido!BQ:BQ,"",0)="IP",$O$3,IF(_xlfn.XLOOKUP(D47,Reunido!B:B,Reunido!BQ:BQ,"",0)="FF",$O$4,""))),"")</f>
        <v xml:space="preserve">Decorative Papers </v>
      </c>
      <c r="D47" s="39" t="s">
        <v>172</v>
      </c>
      <c r="E47" s="39" t="s">
        <v>173</v>
      </c>
      <c r="F47" s="86">
        <v>1870</v>
      </c>
      <c r="G47" s="41" cm="1">
        <f t="array" ref="G47">_xlfn.XLOOKUP(D47&amp;F47,Reunido!B:B&amp;Reunido!D:D,Reunido!O:O,"",1)</f>
        <v>21553</v>
      </c>
      <c r="H47" s="41" cm="1">
        <f t="array" ref="H47">_xlfn.XLOOKUP(D47&amp;F47,Reunido!B:B&amp;Reunido!D:D,Reunido!S:S,"",1)</f>
        <v>61015.502935744407</v>
      </c>
      <c r="I47" s="42">
        <v>46082</v>
      </c>
      <c r="J47" s="39" t="str">
        <f t="shared" si="1"/>
        <v xml:space="preserve">Decorative Papers </v>
      </c>
    </row>
    <row r="48" spans="1:10" s="39" customFormat="1" x14ac:dyDescent="0.2">
      <c r="A48" s="39" t="str">
        <f t="shared" si="0"/>
        <v>Curitiba</v>
      </c>
      <c r="B48" s="39" t="str">
        <f>_xlfn.XLOOKUP(D48,Reunido!B:B,Reunido!A:A,"",0)</f>
        <v>TECH01 / Felix Schoeller GmbH &amp; Co. / DEU</v>
      </c>
      <c r="C48" s="39" t="str">
        <f>IF(D48&lt;&gt;0,IF(_xlfn.XLOOKUP(D48,Reunido!B:B,Reunido!BQ:BQ,"",0)="Print",$O$2,IF(_xlfn.XLOOKUP(D48,Reunido!B:B,Reunido!BQ:BQ,"",0)="IP",$O$3,IF(_xlfn.XLOOKUP(D48,Reunido!B:B,Reunido!BQ:BQ,"",0)="FF",$O$4,""))),"")</f>
        <v xml:space="preserve">Decorative Papers </v>
      </c>
      <c r="D48" s="39" t="s">
        <v>174</v>
      </c>
      <c r="E48" s="39" t="s">
        <v>175</v>
      </c>
      <c r="F48" s="86">
        <v>1870</v>
      </c>
      <c r="G48" s="41" cm="1">
        <f t="array" ref="G48">_xlfn.XLOOKUP(D48&amp;F48,Reunido!B:B&amp;Reunido!D:D,Reunido!O:O,"",1)</f>
        <v>30039</v>
      </c>
      <c r="H48" s="41" cm="1">
        <f t="array" ref="H48">_xlfn.XLOOKUP(D48&amp;F48,Reunido!B:B&amp;Reunido!D:D,Reunido!S:S,"",1)</f>
        <v>77887.211180637867</v>
      </c>
      <c r="I48" s="42">
        <v>46082</v>
      </c>
      <c r="J48" s="39" t="str">
        <f t="shared" si="1"/>
        <v xml:space="preserve">Decorative Papers </v>
      </c>
    </row>
    <row r="49" spans="1:10" s="39" customFormat="1" x14ac:dyDescent="0.2">
      <c r="A49" s="39" t="str">
        <f t="shared" si="0"/>
        <v>Curitiba</v>
      </c>
      <c r="B49" s="39" t="str">
        <f>_xlfn.XLOOKUP(D49,Reunido!B:B,Reunido!A:A,"",0)</f>
        <v>CART01 / CARTIERE DI GUARCINO S.P.A. / ITA</v>
      </c>
      <c r="C49" s="39" t="str">
        <f>IF(D49&lt;&gt;0,IF(_xlfn.XLOOKUP(D49,Reunido!B:B,Reunido!BQ:BQ,"",0)="Print",$O$2,IF(_xlfn.XLOOKUP(D49,Reunido!B:B,Reunido!BQ:BQ,"",0)="IP",$O$3,IF(_xlfn.XLOOKUP(D49,Reunido!B:B,Reunido!BQ:BQ,"",0)="FF",$O$4,""))),"")</f>
        <v>Impregnated Papers</v>
      </c>
      <c r="D49" s="39" t="s">
        <v>187</v>
      </c>
      <c r="E49" s="39" t="s">
        <v>188</v>
      </c>
      <c r="F49" s="86">
        <v>1865</v>
      </c>
      <c r="G49" s="41" cm="1">
        <f t="array" ref="G49">_xlfn.XLOOKUP(D49&amp;F49,Reunido!B:B&amp;Reunido!D:D,Reunido!T:T,"",1)</f>
        <v>7391</v>
      </c>
      <c r="H49" s="41" cm="1">
        <f t="array" ref="H49">_xlfn.XLOOKUP(D49&amp;F49,Reunido!B:B&amp;Reunido!D:D,Reunido!X:X,"",1)</f>
        <v>21302.238954843146</v>
      </c>
      <c r="I49" s="42">
        <v>46113</v>
      </c>
      <c r="J49" s="39" t="str">
        <f t="shared" si="1"/>
        <v>Impregnated Papers</v>
      </c>
    </row>
    <row r="50" spans="1:10" s="39" customFormat="1" x14ac:dyDescent="0.2">
      <c r="A50" s="39" t="str">
        <f t="shared" si="0"/>
        <v>Curitiba</v>
      </c>
      <c r="B50" s="39" t="str">
        <f>_xlfn.XLOOKUP(D50,Reunido!B:B,Reunido!A:A,"",0)</f>
        <v>CART01 / CARTIERE DI GUARCINO S.P.A. / ITA</v>
      </c>
      <c r="C50" s="39" t="str">
        <f>IF(D50&lt;&gt;0,IF(_xlfn.XLOOKUP(D50,Reunido!B:B,Reunido!BQ:BQ,"",0)="Print",$O$2,IF(_xlfn.XLOOKUP(D50,Reunido!B:B,Reunido!BQ:BQ,"",0)="IP",$O$3,IF(_xlfn.XLOOKUP(D50,Reunido!B:B,Reunido!BQ:BQ,"",0)="FF",$O$4,""))),"")</f>
        <v xml:space="preserve">Decorative Papers </v>
      </c>
      <c r="D50" s="39" t="s">
        <v>189</v>
      </c>
      <c r="E50" s="39" t="s">
        <v>190</v>
      </c>
      <c r="F50" s="86">
        <v>1870</v>
      </c>
      <c r="G50" s="41" cm="1">
        <f t="array" ref="G50">_xlfn.XLOOKUP(D50&amp;F50,Reunido!B:B&amp;Reunido!D:D,Reunido!T:T,"",1)</f>
        <v>7695</v>
      </c>
      <c r="H50" s="41" cm="1">
        <f t="array" ref="H50">_xlfn.XLOOKUP(D50&amp;F50,Reunido!B:B&amp;Reunido!D:D,Reunido!X:X,"",1)</f>
        <v>18090.233912419728</v>
      </c>
      <c r="I50" s="42">
        <v>46113</v>
      </c>
      <c r="J50" s="39" t="str">
        <f t="shared" si="1"/>
        <v xml:space="preserve">Decorative Papers </v>
      </c>
    </row>
    <row r="51" spans="1:10" s="39" customFormat="1" x14ac:dyDescent="0.2">
      <c r="A51" s="39" t="str">
        <f t="shared" si="0"/>
        <v>Curitiba</v>
      </c>
      <c r="B51" s="39" t="str">
        <f>_xlfn.XLOOKUP(D51,Reunido!B:B,Reunido!A:A,"",0)</f>
        <v>CART01 / CARTIERE DI GUARCINO S.P.A. / ITA</v>
      </c>
      <c r="C51" s="39" t="str">
        <f>IF(D51&lt;&gt;0,IF(_xlfn.XLOOKUP(D51,Reunido!B:B,Reunido!BQ:BQ,"",0)="Print",$O$2,IF(_xlfn.XLOOKUP(D51,Reunido!B:B,Reunido!BQ:BQ,"",0)="IP",$O$3,IF(_xlfn.XLOOKUP(D51,Reunido!B:B,Reunido!BQ:BQ,"",0)="FF",$O$4,""))),"")</f>
        <v xml:space="preserve">Decorative Papers </v>
      </c>
      <c r="D51" s="39" t="s">
        <v>191</v>
      </c>
      <c r="E51" s="39" t="s">
        <v>192</v>
      </c>
      <c r="F51" s="86">
        <v>1870</v>
      </c>
      <c r="G51" s="41" cm="1">
        <f t="array" ref="G51">_xlfn.XLOOKUP(D51&amp;F51,Reunido!B:B&amp;Reunido!D:D,Reunido!T:T,"",1)</f>
        <v>6437</v>
      </c>
      <c r="H51" s="41" cm="1">
        <f t="array" ref="H51">_xlfn.XLOOKUP(D51&amp;F51,Reunido!B:B&amp;Reunido!D:D,Reunido!X:X,"",1)</f>
        <v>15132.793154528208</v>
      </c>
      <c r="I51" s="42">
        <v>46113</v>
      </c>
      <c r="J51" s="39" t="str">
        <f t="shared" si="1"/>
        <v xml:space="preserve">Decorative Papers </v>
      </c>
    </row>
    <row r="52" spans="1:10" s="39" customFormat="1" x14ac:dyDescent="0.2">
      <c r="A52" s="39" t="str">
        <f t="shared" si="0"/>
        <v>Curitiba</v>
      </c>
      <c r="B52" s="39" t="str">
        <f>_xlfn.XLOOKUP(D52,Reunido!B:B,Reunido!A:A,"",0)</f>
        <v>HUAW01 / HANGZHOU HUAWANG NEW MATERIAL TECHNOLOGY CO.</v>
      </c>
      <c r="C52" s="39" t="str">
        <f>IF(D52&lt;&gt;0,IF(_xlfn.XLOOKUP(D52,Reunido!B:B,Reunido!BQ:BQ,"",0)="Print",$O$2,IF(_xlfn.XLOOKUP(D52,Reunido!B:B,Reunido!BQ:BQ,"",0)="IP",$O$3,IF(_xlfn.XLOOKUP(D52,Reunido!B:B,Reunido!BQ:BQ,"",0)="FF",$O$4,""))),"")</f>
        <v xml:space="preserve">Decorative Papers </v>
      </c>
      <c r="D52" s="39" t="s">
        <v>193</v>
      </c>
      <c r="E52" s="39" t="s">
        <v>194</v>
      </c>
      <c r="F52" s="86">
        <v>1870</v>
      </c>
      <c r="G52" s="41" cm="1">
        <f t="array" ref="G52">_xlfn.XLOOKUP(D52&amp;F52,Reunido!B:B&amp;Reunido!D:D,Reunido!T:T,"",1)</f>
        <v>190866</v>
      </c>
      <c r="H52" s="41" cm="1">
        <f t="array" ref="H52">_xlfn.XLOOKUP(D52&amp;F52,Reunido!B:B&amp;Reunido!D:D,Reunido!X:X,"",1)</f>
        <v>368092.02337850863</v>
      </c>
      <c r="I52" s="42">
        <v>46113</v>
      </c>
      <c r="J52" s="39" t="str">
        <f t="shared" si="1"/>
        <v xml:space="preserve">Decorative Papers </v>
      </c>
    </row>
    <row r="53" spans="1:10" s="39" customFormat="1" x14ac:dyDescent="0.2">
      <c r="A53" s="39" t="str">
        <f t="shared" si="0"/>
        <v>Curitiba</v>
      </c>
      <c r="B53" s="39" t="str">
        <f>_xlfn.XLOOKUP(D53,Reunido!B:B,Reunido!A:A,"",0)</f>
        <v>HUAW01 / HANGZHOU HUAWANG NEW MATERIAL TECHNOLOGY CO.</v>
      </c>
      <c r="C53" s="39" t="str">
        <f>IF(D53&lt;&gt;0,IF(_xlfn.XLOOKUP(D53,Reunido!B:B,Reunido!BQ:BQ,"",0)="Print",$O$2,IF(_xlfn.XLOOKUP(D53,Reunido!B:B,Reunido!BQ:BQ,"",0)="IP",$O$3,IF(_xlfn.XLOOKUP(D53,Reunido!B:B,Reunido!BQ:BQ,"",0)="FF",$O$4,""))),"")</f>
        <v xml:space="preserve">Decorative Papers </v>
      </c>
      <c r="D53" s="39" t="s">
        <v>195</v>
      </c>
      <c r="E53" s="39" t="s">
        <v>196</v>
      </c>
      <c r="F53" s="86">
        <v>1870</v>
      </c>
      <c r="G53" s="41" cm="1">
        <f t="array" ref="G53">_xlfn.XLOOKUP(D53&amp;F53,Reunido!B:B&amp;Reunido!D:D,Reunido!T:T,"",1)</f>
        <v>75156</v>
      </c>
      <c r="H53" s="41" cm="1">
        <f t="array" ref="H53">_xlfn.XLOOKUP(D53&amp;F53,Reunido!B:B&amp;Reunido!D:D,Reunido!X:X,"",1)</f>
        <v>143851.95309018213</v>
      </c>
      <c r="I53" s="42">
        <v>46113</v>
      </c>
      <c r="J53" s="39" t="str">
        <f t="shared" si="1"/>
        <v xml:space="preserve">Decorative Papers </v>
      </c>
    </row>
    <row r="54" spans="1:10" s="39" customFormat="1" x14ac:dyDescent="0.2">
      <c r="A54" s="39" t="str">
        <f t="shared" si="0"/>
        <v>Curitiba</v>
      </c>
      <c r="B54" s="39" t="str">
        <f>_xlfn.XLOOKUP(D54,Reunido!B:B,Reunido!A:A,"",0)</f>
        <v>HUAW01 / HANGZHOU HUAWANG NEW MATERIAL TECHNOLOGY CO.</v>
      </c>
      <c r="C54" s="39" t="str">
        <f>IF(D54&lt;&gt;0,IF(_xlfn.XLOOKUP(D54,Reunido!B:B,Reunido!BQ:BQ,"",0)="Print",$O$2,IF(_xlfn.XLOOKUP(D54,Reunido!B:B,Reunido!BQ:BQ,"",0)="IP",$O$3,IF(_xlfn.XLOOKUP(D54,Reunido!B:B,Reunido!BQ:BQ,"",0)="FF",$O$4,""))),"")</f>
        <v xml:space="preserve">Decorative Papers </v>
      </c>
      <c r="D54" s="39" t="s">
        <v>199</v>
      </c>
      <c r="E54" s="39" t="s">
        <v>200</v>
      </c>
      <c r="F54" s="86">
        <v>1870</v>
      </c>
      <c r="G54" s="41" cm="1">
        <f t="array" ref="G54">_xlfn.XLOOKUP(D54&amp;F54,Reunido!B:B&amp;Reunido!D:D,Reunido!T:T,"",1)</f>
        <v>100046</v>
      </c>
      <c r="H54" s="41" cm="1">
        <f t="array" ref="H54">_xlfn.XLOOKUP(D54&amp;F54,Reunido!B:B&amp;Reunido!D:D,Reunido!X:X,"",1)</f>
        <v>195595.04925700655</v>
      </c>
      <c r="I54" s="42">
        <v>46113</v>
      </c>
      <c r="J54" s="39" t="str">
        <f t="shared" si="1"/>
        <v xml:space="preserve">Decorative Papers </v>
      </c>
    </row>
    <row r="55" spans="1:10" s="39" customFormat="1" x14ac:dyDescent="0.2">
      <c r="A55" s="39" t="str">
        <f t="shared" si="0"/>
        <v>Curitiba</v>
      </c>
      <c r="B55" s="39" t="str">
        <f>_xlfn.XLOOKUP(D55,Reunido!B:B,Reunido!A:A,"",0)</f>
        <v>HUAW01 / HANGZHOU HUAWANG NEW MATERIAL TECHNOLOGY CO.</v>
      </c>
      <c r="C55" s="39" t="str">
        <f>IF(D55&lt;&gt;0,IF(_xlfn.XLOOKUP(D55,Reunido!B:B,Reunido!BQ:BQ,"",0)="Print",$O$2,IF(_xlfn.XLOOKUP(D55,Reunido!B:B,Reunido!BQ:BQ,"",0)="IP",$O$3,IF(_xlfn.XLOOKUP(D55,Reunido!B:B,Reunido!BQ:BQ,"",0)="FF",$O$4,""))),"")</f>
        <v xml:space="preserve">Decorative Papers </v>
      </c>
      <c r="D55" s="39" t="s">
        <v>205</v>
      </c>
      <c r="E55" s="39" t="s">
        <v>206</v>
      </c>
      <c r="F55" s="86">
        <v>1870</v>
      </c>
      <c r="G55" s="41" cm="1">
        <f t="array" ref="G55">_xlfn.XLOOKUP(D55&amp;F55,Reunido!B:B&amp;Reunido!D:D,Reunido!T:T,"",1)</f>
        <v>5928</v>
      </c>
      <c r="H55" s="41" cm="1">
        <f t="array" ref="H55">_xlfn.XLOOKUP(D55&amp;F55,Reunido!B:B&amp;Reunido!D:D,Reunido!X:X,"",1)</f>
        <v>11035.695094672774</v>
      </c>
      <c r="I55" s="42">
        <v>46113</v>
      </c>
      <c r="J55" s="39" t="str">
        <f t="shared" si="1"/>
        <v xml:space="preserve">Decorative Papers </v>
      </c>
    </row>
    <row r="56" spans="1:10" s="39" customFormat="1" x14ac:dyDescent="0.2">
      <c r="A56" s="39" t="str">
        <f t="shared" si="0"/>
        <v>Curitiba</v>
      </c>
      <c r="B56" s="39" t="str">
        <f>_xlfn.XLOOKUP(D56,Reunido!B:B,Reunido!A:A,"",0)</f>
        <v>HUAW01 / HANGZHOU HUAWANG NEW MATERIAL TECHNOLOGY CO.</v>
      </c>
      <c r="C56" s="39" t="str">
        <f>IF(D56&lt;&gt;0,IF(_xlfn.XLOOKUP(D56,Reunido!B:B,Reunido!BQ:BQ,"",0)="Print",$O$2,IF(_xlfn.XLOOKUP(D56,Reunido!B:B,Reunido!BQ:BQ,"",0)="IP",$O$3,IF(_xlfn.XLOOKUP(D56,Reunido!B:B,Reunido!BQ:BQ,"",0)="FF",$O$4,""))),"")</f>
        <v xml:space="preserve">Decorative Papers </v>
      </c>
      <c r="D56" s="39" t="s">
        <v>207</v>
      </c>
      <c r="E56" s="39" t="s">
        <v>208</v>
      </c>
      <c r="F56" s="86">
        <v>1860</v>
      </c>
      <c r="G56" s="41" cm="1">
        <f t="array" ref="G56">_xlfn.XLOOKUP(D56&amp;F56,Reunido!B:B&amp;Reunido!D:D,Reunido!T:T,"",1)</f>
        <v>3078</v>
      </c>
      <c r="H56" s="41" cm="1">
        <f t="array" ref="H56">_xlfn.XLOOKUP(D56&amp;F56,Reunido!B:B&amp;Reunido!D:D,Reunido!X:X,"",1)</f>
        <v>5730.0724530031703</v>
      </c>
      <c r="I56" s="42">
        <v>46113</v>
      </c>
      <c r="J56" s="39" t="str">
        <f t="shared" si="1"/>
        <v xml:space="preserve">Decorative Papers </v>
      </c>
    </row>
    <row r="57" spans="1:10" s="39" customFormat="1" x14ac:dyDescent="0.2">
      <c r="A57" s="39" t="str">
        <f t="shared" si="0"/>
        <v>Curitiba</v>
      </c>
      <c r="B57" s="39" t="str">
        <f>_xlfn.XLOOKUP(D57,Reunido!B:B,Reunido!A:A,"",0)</f>
        <v>KING01 / KINGDECOR (ZHEJIANG) CO., LTD</v>
      </c>
      <c r="C57" s="39" t="str">
        <f>IF(D57&lt;&gt;0,IF(_xlfn.XLOOKUP(D57,Reunido!B:B,Reunido!BQ:BQ,"",0)="Print",$O$2,IF(_xlfn.XLOOKUP(D57,Reunido!B:B,Reunido!BQ:BQ,"",0)="IP",$O$3,IF(_xlfn.XLOOKUP(D57,Reunido!B:B,Reunido!BQ:BQ,"",0)="FF",$O$4,""))),"")</f>
        <v>Finish Foils</v>
      </c>
      <c r="D57" s="39" t="s">
        <v>197</v>
      </c>
      <c r="E57" s="39" t="s">
        <v>198</v>
      </c>
      <c r="F57" s="86">
        <v>1880</v>
      </c>
      <c r="G57" s="41" cm="1">
        <f t="array" ref="G57">_xlfn.XLOOKUP(D57&amp;F57,Reunido!B:B&amp;Reunido!D:D,Reunido!T:T,"",1)</f>
        <v>45773</v>
      </c>
      <c r="H57" s="41" cm="1">
        <f t="array" ref="H57">_xlfn.XLOOKUP(D57&amp;F57,Reunido!B:B&amp;Reunido!D:D,Reunido!X:X,"",1)</f>
        <v>129805.77162236154</v>
      </c>
      <c r="I57" s="42">
        <v>46113</v>
      </c>
      <c r="J57" s="39" t="str">
        <f t="shared" si="1"/>
        <v>Finish Foils</v>
      </c>
    </row>
    <row r="58" spans="1:10" s="39" customFormat="1" x14ac:dyDescent="0.2">
      <c r="A58" s="39" t="str">
        <f t="shared" si="0"/>
        <v>Curitiba</v>
      </c>
      <c r="B58" s="39" t="str">
        <f>_xlfn.XLOOKUP(D58,Reunido!B:B,Reunido!A:A,"",0)</f>
        <v>KING01 / KINGDECOR (ZHEJIANG) CO., LTD</v>
      </c>
      <c r="C58" s="39" t="str">
        <f>IF(D58&lt;&gt;0,IF(_xlfn.XLOOKUP(D58,Reunido!B:B,Reunido!BQ:BQ,"",0)="Print",$O$2,IF(_xlfn.XLOOKUP(D58,Reunido!B:B,Reunido!BQ:BQ,"",0)="IP",$O$3,IF(_xlfn.XLOOKUP(D58,Reunido!B:B,Reunido!BQ:BQ,"",0)="FF",$O$4,""))),"")</f>
        <v xml:space="preserve">Decorative Papers </v>
      </c>
      <c r="D58" s="39" t="s">
        <v>201</v>
      </c>
      <c r="E58" s="39" t="s">
        <v>202</v>
      </c>
      <c r="F58" s="86">
        <v>1870</v>
      </c>
      <c r="G58" s="41" cm="1">
        <f t="array" ref="G58">_xlfn.XLOOKUP(D58&amp;F58,Reunido!B:B&amp;Reunido!D:D,Reunido!T:T,"",1)</f>
        <v>841</v>
      </c>
      <c r="H58" s="41" cm="1">
        <f t="array" ref="H58">_xlfn.XLOOKUP(D58&amp;F58,Reunido!B:B&amp;Reunido!D:D,Reunido!X:X,"",1)</f>
        <v>1025.1127966349889</v>
      </c>
      <c r="I58" s="42">
        <v>46113</v>
      </c>
      <c r="J58" s="39" t="str">
        <f t="shared" si="1"/>
        <v xml:space="preserve">Decorative Papers </v>
      </c>
    </row>
    <row r="59" spans="1:10" s="39" customFormat="1" x14ac:dyDescent="0.2">
      <c r="A59" s="39" t="str">
        <f t="shared" si="0"/>
        <v>Curitiba</v>
      </c>
      <c r="B59" s="39" t="str">
        <f>_xlfn.XLOOKUP(D59,Reunido!B:B,Reunido!A:A,"",0)</f>
        <v>KING01 / KINGDECOR (ZHEJIANG) CO., LTD</v>
      </c>
      <c r="C59" s="39" t="str">
        <f>IF(D59&lt;&gt;0,IF(_xlfn.XLOOKUP(D59,Reunido!B:B,Reunido!BQ:BQ,"",0)="Print",$O$2,IF(_xlfn.XLOOKUP(D59,Reunido!B:B,Reunido!BQ:BQ,"",0)="IP",$O$3,IF(_xlfn.XLOOKUP(D59,Reunido!B:B,Reunido!BQ:BQ,"",0)="FF",$O$4,""))),"")</f>
        <v>Finish Foils</v>
      </c>
      <c r="D59" s="39" t="s">
        <v>203</v>
      </c>
      <c r="E59" s="39" t="s">
        <v>204</v>
      </c>
      <c r="F59" s="86">
        <v>1880</v>
      </c>
      <c r="G59" s="41" cm="1">
        <f t="array" ref="G59">_xlfn.XLOOKUP(D59&amp;F59,Reunido!B:B&amp;Reunido!D:D,Reunido!T:T,"",1)</f>
        <v>5021</v>
      </c>
      <c r="H59" s="41" cm="1">
        <f t="array" ref="H59">_xlfn.XLOOKUP(D59&amp;F59,Reunido!B:B&amp;Reunido!D:D,Reunido!X:X,"",1)</f>
        <v>14238.847882649055</v>
      </c>
      <c r="I59" s="42">
        <v>46113</v>
      </c>
      <c r="J59" s="39" t="str">
        <f t="shared" si="1"/>
        <v>Finish Foils</v>
      </c>
    </row>
    <row r="60" spans="1:10" s="39" customFormat="1" x14ac:dyDescent="0.2">
      <c r="A60" s="39" t="str">
        <f t="shared" si="0"/>
        <v>Curitiba</v>
      </c>
      <c r="B60" s="39" t="str">
        <f>_xlfn.XLOOKUP(D60,Reunido!B:B,Reunido!A:A,"",0)</f>
        <v>KING01 / KINGDECOR (ZHEJIANG) CO., LTD</v>
      </c>
      <c r="C60" s="39" t="str">
        <f>IF(D60&lt;&gt;0,IF(_xlfn.XLOOKUP(D60,Reunido!B:B,Reunido!BQ:BQ,"",0)="Print",$O$2,IF(_xlfn.XLOOKUP(D60,Reunido!B:B,Reunido!BQ:BQ,"",0)="IP",$O$3,IF(_xlfn.XLOOKUP(D60,Reunido!B:B,Reunido!BQ:BQ,"",0)="FF",$O$4,""))),"")</f>
        <v xml:space="preserve">Decorative Papers </v>
      </c>
      <c r="D60" s="39" t="s">
        <v>209</v>
      </c>
      <c r="E60" s="39" t="s">
        <v>210</v>
      </c>
      <c r="F60" s="86">
        <v>1870</v>
      </c>
      <c r="G60" s="41" cm="1">
        <f t="array" ref="G60">_xlfn.XLOOKUP(D60&amp;F60,Reunido!B:B&amp;Reunido!D:D,Reunido!T:T,"",1)</f>
        <v>50573</v>
      </c>
      <c r="H60" s="41" cm="1">
        <f t="array" ref="H60">_xlfn.XLOOKUP(D60&amp;F60,Reunido!B:B&amp;Reunido!D:D,Reunido!X:X,"",1)</f>
        <v>96240.954834656906</v>
      </c>
      <c r="I60" s="42">
        <v>46113</v>
      </c>
      <c r="J60" s="39" t="str">
        <f t="shared" si="1"/>
        <v xml:space="preserve">Decorative Papers </v>
      </c>
    </row>
    <row r="61" spans="1:10" s="39" customFormat="1" x14ac:dyDescent="0.2">
      <c r="A61" s="39" t="str">
        <f t="shared" si="0"/>
        <v>Curitiba</v>
      </c>
      <c r="B61" s="39" t="str">
        <f>_xlfn.XLOOKUP(D61,Reunido!B:B,Reunido!A:A,"",0)</f>
        <v>MLTV01 / VF PAPEIS S.A. / BRA</v>
      </c>
      <c r="C61" s="39" t="str">
        <f>IF(D61&lt;&gt;0,IF(_xlfn.XLOOKUP(D61,Reunido!B:B,Reunido!BQ:BQ,"",0)="Print",$O$2,IF(_xlfn.XLOOKUP(D61,Reunido!B:B,Reunido!BQ:BQ,"",0)="IP",$O$3,IF(_xlfn.XLOOKUP(D61,Reunido!B:B,Reunido!BQ:BQ,"",0)="FF",$O$4,""))),"")</f>
        <v>Finish Foils</v>
      </c>
      <c r="D61" s="39" t="s">
        <v>144</v>
      </c>
      <c r="E61" s="39" t="s">
        <v>145</v>
      </c>
      <c r="F61" s="86">
        <v>1900</v>
      </c>
      <c r="G61" s="41" cm="1">
        <f t="array" ref="G61">_xlfn.XLOOKUP(D61&amp;F61,Reunido!B:B&amp;Reunido!D:D,Reunido!T:T,"",1)</f>
        <v>23950</v>
      </c>
      <c r="H61" s="41" cm="1">
        <f t="array" ref="H61">_xlfn.XLOOKUP(D61&amp;F61,Reunido!B:B&amp;Reunido!D:D,Reunido!X:X,"",1)</f>
        <v>102664.55405537329</v>
      </c>
      <c r="I61" s="42">
        <v>46113</v>
      </c>
      <c r="J61" s="39" t="str">
        <f t="shared" si="1"/>
        <v>Finish Foils</v>
      </c>
    </row>
    <row r="62" spans="1:10" s="39" customFormat="1" x14ac:dyDescent="0.2">
      <c r="A62" s="39" t="str">
        <f t="shared" si="0"/>
        <v>Curitiba</v>
      </c>
      <c r="B62" s="39" t="str">
        <f>_xlfn.XLOOKUP(D62,Reunido!B:B,Reunido!A:A,"",0)</f>
        <v>MLTV01 / VF PAPEIS S.A. / BRA</v>
      </c>
      <c r="C62" s="39" t="str">
        <f>IF(D62&lt;&gt;0,IF(_xlfn.XLOOKUP(D62,Reunido!B:B,Reunido!BQ:BQ,"",0)="Print",$O$2,IF(_xlfn.XLOOKUP(D62,Reunido!B:B,Reunido!BQ:BQ,"",0)="IP",$O$3,IF(_xlfn.XLOOKUP(D62,Reunido!B:B,Reunido!BQ:BQ,"",0)="FF",$O$4,""))),"")</f>
        <v>Finish Foils</v>
      </c>
      <c r="D62" s="39" t="s">
        <v>146</v>
      </c>
      <c r="E62" s="39" t="s">
        <v>147</v>
      </c>
      <c r="F62" s="86">
        <v>1900</v>
      </c>
      <c r="G62" s="41" cm="1">
        <f t="array" ref="G62">_xlfn.XLOOKUP(D62&amp;F62,Reunido!B:B&amp;Reunido!D:D,Reunido!T:T,"",1)</f>
        <v>30646</v>
      </c>
      <c r="H62" s="41" cm="1">
        <f t="array" ref="H62">_xlfn.XLOOKUP(D62&amp;F62,Reunido!B:B&amp;Reunido!D:D,Reunido!X:X,"",1)</f>
        <v>96978.413504187178</v>
      </c>
      <c r="I62" s="42">
        <v>46113</v>
      </c>
      <c r="J62" s="39" t="str">
        <f t="shared" si="1"/>
        <v>Finish Foils</v>
      </c>
    </row>
    <row r="63" spans="1:10" s="39" customFormat="1" x14ac:dyDescent="0.2">
      <c r="A63" s="39" t="str">
        <f t="shared" si="0"/>
        <v>Curitiba</v>
      </c>
      <c r="B63" s="39" t="str">
        <f>_xlfn.XLOOKUP(D63,Reunido!B:B,Reunido!A:A,"",0)</f>
        <v>MLTV01 / VF PAPEIS S.A. / BRA</v>
      </c>
      <c r="C63" s="39" t="str">
        <f>IF(D63&lt;&gt;0,IF(_xlfn.XLOOKUP(D63,Reunido!B:B,Reunido!BQ:BQ,"",0)="Print",$O$2,IF(_xlfn.XLOOKUP(D63,Reunido!B:B,Reunido!BQ:BQ,"",0)="IP",$O$3,IF(_xlfn.XLOOKUP(D63,Reunido!B:B,Reunido!BQ:BQ,"",0)="FF",$O$4,""))),"")</f>
        <v>Finish Foils</v>
      </c>
      <c r="D63" s="39" t="s">
        <v>148</v>
      </c>
      <c r="E63" s="39" t="s">
        <v>149</v>
      </c>
      <c r="F63" s="86">
        <v>1900</v>
      </c>
      <c r="G63" s="41" cm="1">
        <f t="array" ref="G63">_xlfn.XLOOKUP(D63&amp;F63,Reunido!B:B&amp;Reunido!D:D,Reunido!T:T,"",1)</f>
        <v>16069</v>
      </c>
      <c r="H63" s="41" cm="1">
        <f t="array" ref="H63">_xlfn.XLOOKUP(D63&amp;F63,Reunido!B:B&amp;Reunido!D:D,Reunido!X:X,"",1)</f>
        <v>44343.377150351655</v>
      </c>
      <c r="I63" s="42">
        <v>46113</v>
      </c>
      <c r="J63" s="39" t="str">
        <f t="shared" si="1"/>
        <v>Finish Foils</v>
      </c>
    </row>
    <row r="64" spans="1:10" s="39" customFormat="1" x14ac:dyDescent="0.2">
      <c r="A64" s="39" t="str">
        <f t="shared" si="0"/>
        <v>Curitiba</v>
      </c>
      <c r="B64" s="39" t="str">
        <f>_xlfn.XLOOKUP(D64,Reunido!B:B,Reunido!A:A,"",0)</f>
        <v>MUNK04 / MUNKSJO PAPER S/A DETTINGEN / DEU</v>
      </c>
      <c r="C64" s="39" t="str">
        <f>IF(D64&lt;&gt;0,IF(_xlfn.XLOOKUP(D64,Reunido!B:B,Reunido!BQ:BQ,"",0)="Print",$O$2,IF(_xlfn.XLOOKUP(D64,Reunido!B:B,Reunido!BQ:BQ,"",0)="IP",$O$3,IF(_xlfn.XLOOKUP(D64,Reunido!B:B,Reunido!BQ:BQ,"",0)="FF",$O$4,""))),"")</f>
        <v>Finish Foils</v>
      </c>
      <c r="D64" s="39" t="s">
        <v>154</v>
      </c>
      <c r="E64" s="39" t="s">
        <v>155</v>
      </c>
      <c r="F64" s="86">
        <v>1880</v>
      </c>
      <c r="G64" s="41" cm="1">
        <f t="array" ref="G64">_xlfn.XLOOKUP(D64&amp;F64,Reunido!B:B&amp;Reunido!D:D,Reunido!T:T,"",1)</f>
        <v>95470</v>
      </c>
      <c r="H64" s="41" cm="1">
        <f t="array" ref="H64">_xlfn.XLOOKUP(D64&amp;F64,Reunido!B:B&amp;Reunido!D:D,Reunido!X:X,"",1)</f>
        <v>253198.91511496133</v>
      </c>
      <c r="I64" s="42">
        <v>46113</v>
      </c>
      <c r="J64" s="39" t="str">
        <f t="shared" si="1"/>
        <v>Finish Foils</v>
      </c>
    </row>
    <row r="65" spans="1:10" s="39" customFormat="1" x14ac:dyDescent="0.2">
      <c r="A65" s="39" t="str">
        <f t="shared" si="0"/>
        <v>Curitiba</v>
      </c>
      <c r="B65" s="39" t="str">
        <f>_xlfn.XLOOKUP(D65,Reunido!B:B,Reunido!A:A,"",0)</f>
        <v>MUNK07 / MUNKSJO TOLOSA S.A.U.  / ESP</v>
      </c>
      <c r="C65" s="39" t="str">
        <f>IF(D65&lt;&gt;0,IF(_xlfn.XLOOKUP(D65,Reunido!B:B,Reunido!BQ:BQ,"",0)="Print",$O$2,IF(_xlfn.XLOOKUP(D65,Reunido!B:B,Reunido!BQ:BQ,"",0)="IP",$O$3,IF(_xlfn.XLOOKUP(D65,Reunido!B:B,Reunido!BQ:BQ,"",0)="FF",$O$4,""))),"")</f>
        <v xml:space="preserve">Decorative Papers </v>
      </c>
      <c r="D65" s="39" t="s">
        <v>156</v>
      </c>
      <c r="E65" s="39" t="s">
        <v>157</v>
      </c>
      <c r="F65" s="86">
        <v>1860</v>
      </c>
      <c r="G65" s="41" cm="1">
        <f t="array" ref="G65">_xlfn.XLOOKUP(D65&amp;F65,Reunido!B:B&amp;Reunido!D:D,Reunido!T:T,"",1)</f>
        <v>48774</v>
      </c>
      <c r="H65" s="41" cm="1">
        <f t="array" ref="H65">_xlfn.XLOOKUP(D65&amp;F65,Reunido!B:B&amp;Reunido!D:D,Reunido!X:X,"",1)</f>
        <v>87339.181073085434</v>
      </c>
      <c r="I65" s="42">
        <v>46113</v>
      </c>
      <c r="J65" s="39" t="str">
        <f t="shared" si="1"/>
        <v xml:space="preserve">Decorative Papers </v>
      </c>
    </row>
    <row r="66" spans="1:10" s="39" customFormat="1" x14ac:dyDescent="0.2">
      <c r="A66" s="39" t="str">
        <f t="shared" ref="A66:A129" si="2">IF(B66&lt;&gt;"","Curitiba","")</f>
        <v>Curitiba</v>
      </c>
      <c r="B66" s="39" t="str">
        <f>_xlfn.XLOOKUP(D66,Reunido!B:B,Reunido!A:A,"",0)</f>
        <v>MUNK09 / MUNKSJO CAIEIRAS LTDA / BRA</v>
      </c>
      <c r="C66" s="39" t="str">
        <f>IF(D66&lt;&gt;0,IF(_xlfn.XLOOKUP(D66,Reunido!B:B,Reunido!BQ:BQ,"",0)="Print",$O$2,IF(_xlfn.XLOOKUP(D66,Reunido!B:B,Reunido!BQ:BQ,"",0)="IP",$O$3,IF(_xlfn.XLOOKUP(D66,Reunido!B:B,Reunido!BQ:BQ,"",0)="FF",$O$4,""))),"")</f>
        <v xml:space="preserve">Decorative Papers </v>
      </c>
      <c r="D66" s="39" t="s">
        <v>164</v>
      </c>
      <c r="E66" s="39" t="s">
        <v>165</v>
      </c>
      <c r="F66" s="86">
        <v>1270</v>
      </c>
      <c r="G66" s="41" cm="1">
        <f t="array" ref="G66">_xlfn.XLOOKUP(D66&amp;F66,Reunido!B:B&amp;Reunido!D:D,Reunido!T:T,"",1)</f>
        <v>38354</v>
      </c>
      <c r="H66" s="41" cm="1">
        <f t="array" ref="H66">_xlfn.XLOOKUP(D66&amp;F66,Reunido!B:B&amp;Reunido!D:D,Reunido!X:X,"",1)</f>
        <v>159544.15643397102</v>
      </c>
      <c r="I66" s="42">
        <v>46113</v>
      </c>
      <c r="J66" s="39" t="str">
        <f t="shared" si="1"/>
        <v xml:space="preserve">Decorative Papers </v>
      </c>
    </row>
    <row r="67" spans="1:10" s="39" customFormat="1" x14ac:dyDescent="0.2">
      <c r="A67" s="39" t="str">
        <f t="shared" si="2"/>
        <v>Curitiba</v>
      </c>
      <c r="B67" s="39" t="str">
        <f>_xlfn.XLOOKUP(D67,Reunido!B:B,Reunido!A:A,"",0)</f>
        <v>MUNK09 / MUNKSJO CAIEIRAS LTDA / BRA</v>
      </c>
      <c r="C67" s="39" t="str">
        <f>IF(D67&lt;&gt;0,IF(_xlfn.XLOOKUP(D67,Reunido!B:B,Reunido!BQ:BQ,"",0)="Print",$O$2,IF(_xlfn.XLOOKUP(D67,Reunido!B:B,Reunido!BQ:BQ,"",0)="IP",$O$3,IF(_xlfn.XLOOKUP(D67,Reunido!B:B,Reunido!BQ:BQ,"",0)="FF",$O$4,""))),"")</f>
        <v xml:space="preserve">Decorative Papers </v>
      </c>
      <c r="D67" s="39" t="s">
        <v>166</v>
      </c>
      <c r="E67" s="39" t="s">
        <v>167</v>
      </c>
      <c r="F67" s="86">
        <v>1270</v>
      </c>
      <c r="G67" s="41" cm="1">
        <f t="array" ref="G67">_xlfn.XLOOKUP(D67&amp;F67,Reunido!B:B&amp;Reunido!D:D,Reunido!T:T,"",1)</f>
        <v>25815</v>
      </c>
      <c r="H67" s="41" cm="1">
        <f t="array" ref="H67">_xlfn.XLOOKUP(D67&amp;F67,Reunido!B:B&amp;Reunido!D:D,Reunido!X:X,"",1)</f>
        <v>101383.73436445516</v>
      </c>
      <c r="I67" s="42">
        <v>46113</v>
      </c>
      <c r="J67" s="39" t="str">
        <f t="shared" si="1"/>
        <v xml:space="preserve">Decorative Papers </v>
      </c>
    </row>
    <row r="68" spans="1:10" s="39" customFormat="1" x14ac:dyDescent="0.2">
      <c r="A68" s="39" t="str">
        <f t="shared" si="2"/>
        <v>Curitiba</v>
      </c>
      <c r="B68" s="39" t="str">
        <f>_xlfn.XLOOKUP(D68,Reunido!B:B,Reunido!A:A,"",0)</f>
        <v>MUNK09 / MUNKSJO CAIEIRAS LTDA / BRA</v>
      </c>
      <c r="C68" s="39" t="str">
        <f>IF(D68&lt;&gt;0,IF(_xlfn.XLOOKUP(D68,Reunido!B:B,Reunido!BQ:BQ,"",0)="Print",$O$2,IF(_xlfn.XLOOKUP(D68,Reunido!B:B,Reunido!BQ:BQ,"",0)="IP",$O$3,IF(_xlfn.XLOOKUP(D68,Reunido!B:B,Reunido!BQ:BQ,"",0)="FF",$O$4,""))),"")</f>
        <v>Impregnated Papers</v>
      </c>
      <c r="D68" s="39" t="s">
        <v>211</v>
      </c>
      <c r="E68" s="39" t="s">
        <v>212</v>
      </c>
      <c r="F68" s="86">
        <v>1855</v>
      </c>
      <c r="G68" s="41" cm="1">
        <f t="array" ref="G68">_xlfn.XLOOKUP(D68&amp;F68,Reunido!B:B&amp;Reunido!D:D,Reunido!T:T,"",1)</f>
        <v>45690</v>
      </c>
      <c r="H68" s="41" cm="1">
        <f t="array" ref="H68">_xlfn.XLOOKUP(D68&amp;F68,Reunido!B:B&amp;Reunido!D:D,Reunido!X:X,"",1)</f>
        <v>142919.24397604424</v>
      </c>
      <c r="I68" s="42">
        <v>46113</v>
      </c>
      <c r="J68" s="39" t="str">
        <f t="shared" ref="J68:J116" si="3">C68</f>
        <v>Impregnated Papers</v>
      </c>
    </row>
    <row r="69" spans="1:10" s="39" customFormat="1" x14ac:dyDescent="0.2">
      <c r="A69" s="39" t="str">
        <f t="shared" si="2"/>
        <v>Curitiba</v>
      </c>
      <c r="B69" s="39" t="str">
        <f>_xlfn.XLOOKUP(D69,Reunido!B:B,Reunido!A:A,"",0)</f>
        <v>MUNK09 / MUNKSJO CAIEIRAS LTDA / BRA</v>
      </c>
      <c r="C69" s="39" t="str">
        <f>IF(D69&lt;&gt;0,IF(_xlfn.XLOOKUP(D69,Reunido!B:B,Reunido!BQ:BQ,"",0)="Print",$O$2,IF(_xlfn.XLOOKUP(D69,Reunido!B:B,Reunido!BQ:BQ,"",0)="IP",$O$3,IF(_xlfn.XLOOKUP(D69,Reunido!B:B,Reunido!BQ:BQ,"",0)="FF",$O$4,""))),"")</f>
        <v>Impregnated Papers</v>
      </c>
      <c r="D69" s="39" t="s">
        <v>213</v>
      </c>
      <c r="E69" s="39" t="s">
        <v>214</v>
      </c>
      <c r="F69" s="86">
        <v>1855</v>
      </c>
      <c r="G69" s="41" cm="1">
        <f t="array" ref="G69">_xlfn.XLOOKUP(D69&amp;F69,Reunido!B:B&amp;Reunido!D:D,Reunido!T:T,"",1)</f>
        <v>5701</v>
      </c>
      <c r="H69" s="41" cm="1">
        <f t="array" ref="H69">_xlfn.XLOOKUP(D69&amp;F69,Reunido!B:B&amp;Reunido!D:D,Reunido!X:X,"",1)</f>
        <v>30738.010449870759</v>
      </c>
      <c r="I69" s="42">
        <v>46113</v>
      </c>
      <c r="J69" s="39" t="str">
        <f t="shared" si="3"/>
        <v>Impregnated Papers</v>
      </c>
    </row>
    <row r="70" spans="1:10" s="39" customFormat="1" x14ac:dyDescent="0.2">
      <c r="A70" s="39" t="str">
        <f t="shared" si="2"/>
        <v>Curitiba</v>
      </c>
      <c r="B70" s="39" t="str">
        <f>_xlfn.XLOOKUP(D70,Reunido!B:B,Reunido!A:A,"",0)</f>
        <v>SUNS01 / CENTURY SUNSHINE (SHOUGUANG) SPECIALTY PAPER CO., LTD.</v>
      </c>
      <c r="C70" s="39" t="str">
        <f>IF(D70&lt;&gt;0,IF(_xlfn.XLOOKUP(D70,Reunido!B:B,Reunido!BQ:BQ,"",0)="Print",$O$2,IF(_xlfn.XLOOKUP(D70,Reunido!B:B,Reunido!BQ:BQ,"",0)="IP",$O$3,IF(_xlfn.XLOOKUP(D70,Reunido!B:B,Reunido!BQ:BQ,"",0)="FF",$O$4,""))),"")</f>
        <v xml:space="preserve">Decorative Papers </v>
      </c>
      <c r="D70" s="39" t="s">
        <v>130</v>
      </c>
      <c r="E70" s="39" t="s">
        <v>131</v>
      </c>
      <c r="F70" s="86">
        <v>1870</v>
      </c>
      <c r="G70" s="41" cm="1">
        <f t="array" ref="G70">_xlfn.XLOOKUP(D70&amp;F70,Reunido!B:B&amp;Reunido!D:D,Reunido!T:T,"",1)</f>
        <v>51562</v>
      </c>
      <c r="H70" s="41" cm="1">
        <f t="array" ref="H70">_xlfn.XLOOKUP(D70&amp;F70,Reunido!B:B&amp;Reunido!D:D,Reunido!X:X,"",1)</f>
        <v>97998.550091043769</v>
      </c>
      <c r="I70" s="42">
        <v>46113</v>
      </c>
      <c r="J70" s="39" t="str">
        <f t="shared" si="3"/>
        <v xml:space="preserve">Decorative Papers </v>
      </c>
    </row>
    <row r="71" spans="1:10" s="39" customFormat="1" x14ac:dyDescent="0.2">
      <c r="A71" s="39" t="str">
        <f t="shared" si="2"/>
        <v>Curitiba</v>
      </c>
      <c r="B71" s="39" t="str">
        <f>_xlfn.XLOOKUP(D71,Reunido!B:B,Reunido!A:A,"",0)</f>
        <v>SUNS01 / CENTURY SUNSHINE (SHOUGUANG) SPECIALTY PAPER CO., LTD.</v>
      </c>
      <c r="C71" s="39" t="str">
        <f>IF(D71&lt;&gt;0,IF(_xlfn.XLOOKUP(D71,Reunido!B:B,Reunido!BQ:BQ,"",0)="Print",$O$2,IF(_xlfn.XLOOKUP(D71,Reunido!B:B,Reunido!BQ:BQ,"",0)="IP",$O$3,IF(_xlfn.XLOOKUP(D71,Reunido!B:B,Reunido!BQ:BQ,"",0)="FF",$O$4,""))),"")</f>
        <v>Impregnated Papers</v>
      </c>
      <c r="D71" s="39" t="s">
        <v>128</v>
      </c>
      <c r="E71" s="39" t="s">
        <v>129</v>
      </c>
      <c r="F71" s="86">
        <v>1855</v>
      </c>
      <c r="G71" s="41" cm="1">
        <f t="array" ref="G71">_xlfn.XLOOKUP(D71&amp;F71,Reunido!B:B&amp;Reunido!D:D,Reunido!T:T,"",1)</f>
        <v>149497</v>
      </c>
      <c r="H71" s="41" cm="1">
        <f t="array" ref="H71">_xlfn.XLOOKUP(D71&amp;F71,Reunido!B:B&amp;Reunido!D:D,Reunido!X:X,"",1)</f>
        <v>275975.23949389014</v>
      </c>
      <c r="I71" s="42">
        <v>46113</v>
      </c>
      <c r="J71" s="39" t="str">
        <f t="shared" si="3"/>
        <v>Impregnated Papers</v>
      </c>
    </row>
    <row r="72" spans="1:10" s="39" customFormat="1" x14ac:dyDescent="0.2">
      <c r="A72" s="39" t="str">
        <f t="shared" si="2"/>
        <v>Curitiba</v>
      </c>
      <c r="B72" s="39" t="str">
        <f>_xlfn.XLOOKUP(D72,Reunido!B:B,Reunido!A:A,"",0)</f>
        <v>SUNS01 / CENTURY SUNSHINE (SHOUGUANG) SPECIALTY PAPER CO., LTD.</v>
      </c>
      <c r="C72" s="39" t="s">
        <v>101</v>
      </c>
      <c r="D72" s="39" t="s">
        <v>128</v>
      </c>
      <c r="E72" s="39" t="s">
        <v>129</v>
      </c>
      <c r="F72" s="86">
        <v>1860</v>
      </c>
      <c r="G72" s="41" cm="1">
        <f t="array" ref="G72">_xlfn.XLOOKUP(D72&amp;F72,Reunido!B:B&amp;Reunido!D:D,Reunido!T:T,"",1)</f>
        <v>49739</v>
      </c>
      <c r="H72" s="41" cm="1">
        <f t="array" ref="H72">_xlfn.XLOOKUP(D72&amp;F72,Reunido!B:B&amp;Reunido!D:D,Reunido!X:X,"",1)</f>
        <v>94710.506322129368</v>
      </c>
      <c r="I72" s="42">
        <v>46113</v>
      </c>
      <c r="J72" s="39" t="str">
        <f>C72</f>
        <v xml:space="preserve">Decorative Papers </v>
      </c>
    </row>
    <row r="73" spans="1:10" s="39" customFormat="1" x14ac:dyDescent="0.2">
      <c r="A73" s="39" t="str">
        <f t="shared" si="2"/>
        <v>Curitiba</v>
      </c>
      <c r="B73" s="39" t="str">
        <f>_xlfn.XLOOKUP(D73,Reunido!B:B,Reunido!A:A,"",0)</f>
        <v>TECH01 / Felix Schoeller GmbH &amp; Co. / DEU</v>
      </c>
      <c r="C73" s="39" t="str">
        <f>IF(D73&lt;&gt;0,IF(_xlfn.XLOOKUP(D73,Reunido!B:B,Reunido!BQ:BQ,"",0)="Print",$O$2,IF(_xlfn.XLOOKUP(D73,Reunido!B:B,Reunido!BQ:BQ,"",0)="IP",$O$3,IF(_xlfn.XLOOKUP(D73,Reunido!B:B,Reunido!BQ:BQ,"",0)="FF",$O$4,""))),"")</f>
        <v xml:space="preserve">Decorative Papers </v>
      </c>
      <c r="D73" s="39" t="s">
        <v>168</v>
      </c>
      <c r="E73" s="39" t="s">
        <v>169</v>
      </c>
      <c r="F73" s="86">
        <v>1870</v>
      </c>
      <c r="G73" s="41" cm="1">
        <f t="array" ref="G73">_xlfn.XLOOKUP(D73&amp;F73,Reunido!B:B&amp;Reunido!D:D,Reunido!T:T,"",1)</f>
        <v>31655</v>
      </c>
      <c r="H73" s="41" cm="1">
        <f t="array" ref="H73">_xlfn.XLOOKUP(D73&amp;F73,Reunido!B:B&amp;Reunido!D:D,Reunido!X:X,"",1)</f>
        <v>80420.886159226837</v>
      </c>
      <c r="I73" s="42">
        <v>46113</v>
      </c>
      <c r="J73" s="39" t="str">
        <f t="shared" si="3"/>
        <v xml:space="preserve">Decorative Papers </v>
      </c>
    </row>
    <row r="74" spans="1:10" s="39" customFormat="1" x14ac:dyDescent="0.2">
      <c r="A74" s="39" t="str">
        <f t="shared" si="2"/>
        <v>Curitiba</v>
      </c>
      <c r="B74" s="39" t="str">
        <f>_xlfn.XLOOKUP(D74,Reunido!B:B,Reunido!A:A,"",0)</f>
        <v>TECH01 / Felix Schoeller GmbH &amp; Co. / DEU</v>
      </c>
      <c r="C74" s="39" t="str">
        <f>IF(D74&lt;&gt;0,IF(_xlfn.XLOOKUP(D74,Reunido!B:B,Reunido!BQ:BQ,"",0)="Print",$O$2,IF(_xlfn.XLOOKUP(D74,Reunido!B:B,Reunido!BQ:BQ,"",0)="IP",$O$3,IF(_xlfn.XLOOKUP(D74,Reunido!B:B,Reunido!BQ:BQ,"",0)="FF",$O$4,""))),"")</f>
        <v xml:space="preserve">Decorative Papers </v>
      </c>
      <c r="D74" s="39" t="s">
        <v>170</v>
      </c>
      <c r="E74" s="39" t="s">
        <v>171</v>
      </c>
      <c r="F74" s="86">
        <v>1870</v>
      </c>
      <c r="G74" s="41" cm="1">
        <f t="array" ref="G74">_xlfn.XLOOKUP(D74&amp;F74,Reunido!B:B&amp;Reunido!D:D,Reunido!T:T,"",1)</f>
        <v>33874</v>
      </c>
      <c r="H74" s="41" cm="1">
        <f t="array" ref="H74">_xlfn.XLOOKUP(D74&amp;F74,Reunido!B:B&amp;Reunido!D:D,Reunido!X:X,"",1)</f>
        <v>95542.68784937248</v>
      </c>
      <c r="I74" s="42">
        <v>46113</v>
      </c>
      <c r="J74" s="39" t="str">
        <f t="shared" si="3"/>
        <v xml:space="preserve">Decorative Papers </v>
      </c>
    </row>
    <row r="75" spans="1:10" s="39" customFormat="1" x14ac:dyDescent="0.2">
      <c r="A75" s="39" t="str">
        <f t="shared" si="2"/>
        <v>Curitiba</v>
      </c>
      <c r="B75" s="39" t="str">
        <f>_xlfn.XLOOKUP(D75,Reunido!B:B,Reunido!A:A,"",0)</f>
        <v>TECH01 / Felix Schoeller GmbH &amp; Co. / DEU</v>
      </c>
      <c r="C75" s="39" t="str">
        <f>IF(D75&lt;&gt;0,IF(_xlfn.XLOOKUP(D75,Reunido!B:B,Reunido!BQ:BQ,"",0)="Print",$O$2,IF(_xlfn.XLOOKUP(D75,Reunido!B:B,Reunido!BQ:BQ,"",0)="IP",$O$3,IF(_xlfn.XLOOKUP(D75,Reunido!B:B,Reunido!BQ:BQ,"",0)="FF",$O$4,""))),"")</f>
        <v>Impregnated Papers</v>
      </c>
      <c r="D75" s="47" t="s">
        <v>215</v>
      </c>
      <c r="E75" s="39" t="s">
        <v>216</v>
      </c>
      <c r="F75" s="86">
        <v>1840</v>
      </c>
      <c r="G75" s="41" cm="1">
        <f t="array" ref="G75">_xlfn.XLOOKUP(D75&amp;F75,Reunido!B:B&amp;Reunido!D:D,Reunido!T:T,"",1)</f>
        <v>3037</v>
      </c>
      <c r="H75" s="41" cm="1">
        <f t="array" ref="H75">_xlfn.XLOOKUP(D75&amp;F75,Reunido!B:B&amp;Reunido!D:D,Reunido!X:X,"",1)</f>
        <v>8498.0063751851649</v>
      </c>
      <c r="I75" s="42">
        <v>46113</v>
      </c>
      <c r="J75" s="39" t="str">
        <f>C75</f>
        <v>Impregnated Papers</v>
      </c>
    </row>
    <row r="76" spans="1:10" s="39" customFormat="1" x14ac:dyDescent="0.2">
      <c r="A76" s="39" t="str">
        <f t="shared" si="2"/>
        <v>Curitiba</v>
      </c>
      <c r="B76" s="39" t="str">
        <f>_xlfn.XLOOKUP(D76,Reunido!B:B,Reunido!A:A,"",0)</f>
        <v>HUAW01 / HANGZHOU HUAWANG NEW MATERIAL TECHNOLOGY CO.</v>
      </c>
      <c r="C76" s="39" t="str">
        <f>IF(D76&lt;&gt;0,IF(_xlfn.XLOOKUP(D76,Reunido!B:B,Reunido!BQ:BQ,"",0)="Print",$O$2,IF(_xlfn.XLOOKUP(D76,Reunido!B:B,Reunido!BQ:BQ,"",0)="IP",$O$3,IF(_xlfn.XLOOKUP(D76,Reunido!B:B,Reunido!BQ:BQ,"",0)="FF",$O$4,""))),"")</f>
        <v xml:space="preserve">Decorative Papers </v>
      </c>
      <c r="D76" s="39" t="s">
        <v>193</v>
      </c>
      <c r="E76" s="39" t="s">
        <v>194</v>
      </c>
      <c r="F76" s="86">
        <v>1870</v>
      </c>
      <c r="G76" s="41" cm="1">
        <f t="array" ref="G76">_xlfn.XLOOKUP(D76&amp;F76,Reunido!B:B&amp;Reunido!D:D,Reunido!Y:Y,"",1)</f>
        <v>49815</v>
      </c>
      <c r="H76" s="41" cm="1">
        <f t="array" ref="H76">_xlfn.XLOOKUP(D76&amp;F76,Reunido!B:B&amp;Reunido!D:D,Reunido!AC:AC,"",1)</f>
        <v>97599.674491586455</v>
      </c>
      <c r="I76" s="42">
        <v>46143</v>
      </c>
      <c r="J76" s="39" t="str">
        <f t="shared" si="3"/>
        <v xml:space="preserve">Decorative Papers </v>
      </c>
    </row>
    <row r="77" spans="1:10" s="39" customFormat="1" x14ac:dyDescent="0.2">
      <c r="A77" s="39" t="str">
        <f t="shared" si="2"/>
        <v>Curitiba</v>
      </c>
      <c r="B77" s="39" t="str">
        <f>_xlfn.XLOOKUP(D77,Reunido!B:B,Reunido!A:A,"",0)</f>
        <v>KOEH02 / KOEHLER PAPER SE / DEU</v>
      </c>
      <c r="C77" s="39" t="str">
        <f>IF(D77&lt;&gt;0,IF(_xlfn.XLOOKUP(D77,Reunido!B:B,Reunido!BQ:BQ,"",0)="Print",$O$2,IF(_xlfn.XLOOKUP(D77,Reunido!B:B,Reunido!BQ:BQ,"",0)="IP",$O$3,IF(_xlfn.XLOOKUP(D77,Reunido!B:B,Reunido!BQ:BQ,"",0)="FF",$O$4,""))),"")</f>
        <v xml:space="preserve">Decorative Papers </v>
      </c>
      <c r="D77" s="39" t="s">
        <v>138</v>
      </c>
      <c r="E77" s="39" t="s">
        <v>139</v>
      </c>
      <c r="F77" s="86">
        <v>1870</v>
      </c>
      <c r="G77" s="41" cm="1">
        <f t="array" ref="G77">_xlfn.XLOOKUP(D77&amp;F77,Reunido!B:B&amp;Reunido!D:D,Reunido!Y:Y,"",1)</f>
        <v>50006</v>
      </c>
      <c r="H77" s="41" cm="1">
        <f t="array" ref="H77">_xlfn.XLOOKUP(D77&amp;F77,Reunido!B:B&amp;Reunido!D:D,Reunido!AC:AC,"",1)</f>
        <v>102527.44737127038</v>
      </c>
      <c r="I77" s="42">
        <v>46143</v>
      </c>
      <c r="J77" s="39" t="str">
        <f t="shared" si="3"/>
        <v xml:space="preserve">Decorative Papers </v>
      </c>
    </row>
    <row r="78" spans="1:10" s="39" customFormat="1" x14ac:dyDescent="0.2">
      <c r="A78" s="39" t="str">
        <f t="shared" si="2"/>
        <v>Curitiba</v>
      </c>
      <c r="B78" s="39" t="str">
        <f>_xlfn.XLOOKUP(D78,Reunido!B:B,Reunido!A:A,"",0)</f>
        <v>KOEH02 / KOEHLER PAPER SE / DEU</v>
      </c>
      <c r="C78" s="39" t="str">
        <f>IF(D78&lt;&gt;0,IF(_xlfn.XLOOKUP(D78,Reunido!B:B,Reunido!BQ:BQ,"",0)="Print",$O$2,IF(_xlfn.XLOOKUP(D78,Reunido!B:B,Reunido!BQ:BQ,"",0)="IP",$O$3,IF(_xlfn.XLOOKUP(D78,Reunido!B:B,Reunido!BQ:BQ,"",0)="FF",$O$4,""))),"")</f>
        <v xml:space="preserve">Decorative Papers </v>
      </c>
      <c r="D78" s="39" t="s">
        <v>140</v>
      </c>
      <c r="E78" s="39" t="s">
        <v>141</v>
      </c>
      <c r="F78" s="86">
        <v>1870</v>
      </c>
      <c r="G78" s="41" cm="1">
        <f t="array" ref="G78">_xlfn.XLOOKUP(D78&amp;F78,Reunido!B:B&amp;Reunido!D:D,Reunido!Y:Y,"",1)</f>
        <v>24590</v>
      </c>
      <c r="H78" s="41" cm="1">
        <f t="array" ref="H78">_xlfn.XLOOKUP(D78&amp;F78,Reunido!B:B&amp;Reunido!D:D,Reunido!AC:AC,"",1)</f>
        <v>42585.189882772291</v>
      </c>
      <c r="I78" s="42">
        <v>46143</v>
      </c>
      <c r="J78" s="39" t="str">
        <f t="shared" si="3"/>
        <v xml:space="preserve">Decorative Papers </v>
      </c>
    </row>
    <row r="79" spans="1:10" s="39" customFormat="1" x14ac:dyDescent="0.2">
      <c r="A79" s="39" t="str">
        <f t="shared" si="2"/>
        <v>Curitiba</v>
      </c>
      <c r="B79" s="39" t="str">
        <f>_xlfn.XLOOKUP(D79,Reunido!B:B,Reunido!A:A,"",0)</f>
        <v>MLTV01 / VF PAPEIS S.A. / BRA</v>
      </c>
      <c r="C79" s="39" t="str">
        <f>IF(D79&lt;&gt;0,IF(_xlfn.XLOOKUP(D79,Reunido!B:B,Reunido!BQ:BQ,"",0)="Print",$O$2,IF(_xlfn.XLOOKUP(D79,Reunido!B:B,Reunido!BQ:BQ,"",0)="IP",$O$3,IF(_xlfn.XLOOKUP(D79,Reunido!B:B,Reunido!BQ:BQ,"",0)="FF",$O$4,""))),"")</f>
        <v>Finish Foils</v>
      </c>
      <c r="D79" s="39" t="s">
        <v>146</v>
      </c>
      <c r="E79" s="39" t="s">
        <v>147</v>
      </c>
      <c r="F79" s="86">
        <v>1900</v>
      </c>
      <c r="G79" s="41" cm="1">
        <f t="array" ref="G79">_xlfn.XLOOKUP(D79&amp;F79,Reunido!B:B&amp;Reunido!D:D,Reunido!Y:Y,"",1)</f>
        <v>15407</v>
      </c>
      <c r="H79" s="41" cm="1">
        <f t="array" ref="H79">_xlfn.XLOOKUP(D79&amp;F79,Reunido!B:B&amp;Reunido!D:D,Reunido!AC:AC,"",1)</f>
        <v>49353.589099764722</v>
      </c>
      <c r="I79" s="42">
        <v>46143</v>
      </c>
      <c r="J79" s="39" t="str">
        <f t="shared" si="3"/>
        <v>Finish Foils</v>
      </c>
    </row>
    <row r="80" spans="1:10" s="39" customFormat="1" x14ac:dyDescent="0.2">
      <c r="A80" s="39" t="str">
        <f t="shared" si="2"/>
        <v>Curitiba</v>
      </c>
      <c r="B80" s="39" t="str">
        <f>_xlfn.XLOOKUP(D80,Reunido!B:B,Reunido!A:A,"",0)</f>
        <v>MUNK01 / MUNKSJO UNTERKOCHEN GMBH / DEU</v>
      </c>
      <c r="C80" s="39" t="str">
        <f>IF(D80&lt;&gt;0,IF(_xlfn.XLOOKUP(D80,Reunido!B:B,Reunido!BQ:BQ,"",0)="Print",$O$2,IF(_xlfn.XLOOKUP(D80,Reunido!B:B,Reunido!BQ:BQ,"",0)="IP",$O$3,IF(_xlfn.XLOOKUP(D80,Reunido!B:B,Reunido!BQ:BQ,"",0)="FF",$O$4,""))),"")</f>
        <v xml:space="preserve">Decorative Papers </v>
      </c>
      <c r="D80" s="39" t="s">
        <v>221</v>
      </c>
      <c r="E80" s="39" t="s">
        <v>222</v>
      </c>
      <c r="F80" s="86">
        <v>1870</v>
      </c>
      <c r="G80" s="41" cm="1">
        <f t="array" ref="G80">_xlfn.XLOOKUP(D80&amp;F80,Reunido!B:B&amp;Reunido!D:D,Reunido!Y:Y,"",1)</f>
        <v>25408</v>
      </c>
      <c r="H80" s="41" cm="1">
        <f t="array" ref="H80">_xlfn.XLOOKUP(D80&amp;F80,Reunido!B:B&amp;Reunido!D:D,Reunido!AC:AC,"",1)</f>
        <v>56819.636716111636</v>
      </c>
      <c r="I80" s="42">
        <v>46143</v>
      </c>
      <c r="J80" s="39" t="str">
        <f t="shared" si="3"/>
        <v xml:space="preserve">Decorative Papers </v>
      </c>
    </row>
    <row r="81" spans="1:10" s="39" customFormat="1" x14ac:dyDescent="0.2">
      <c r="A81" s="39" t="str">
        <f t="shared" si="2"/>
        <v>Curitiba</v>
      </c>
      <c r="B81" s="39" t="str">
        <f>_xlfn.XLOOKUP(D81,Reunido!B:B,Reunido!A:A,"",0)</f>
        <v>MUNK01 / MUNKSJO UNTERKOCHEN GMBH / DEU</v>
      </c>
      <c r="C81" s="39" t="str">
        <f>IF(D81&lt;&gt;0,IF(_xlfn.XLOOKUP(D81,Reunido!B:B,Reunido!BQ:BQ,"",0)="Print",$O$2,IF(_xlfn.XLOOKUP(D81,Reunido!B:B,Reunido!BQ:BQ,"",0)="IP",$O$3,IF(_xlfn.XLOOKUP(D81,Reunido!B:B,Reunido!BQ:BQ,"",0)="FF",$O$4,""))),"")</f>
        <v xml:space="preserve">Decorative Papers </v>
      </c>
      <c r="D81" s="39" t="s">
        <v>221</v>
      </c>
      <c r="E81" s="39" t="s">
        <v>222</v>
      </c>
      <c r="F81" s="86">
        <v>2175</v>
      </c>
      <c r="G81" s="41" cm="1">
        <f t="array" ref="G81">_xlfn.XLOOKUP(D81&amp;F81,Reunido!B:B&amp;Reunido!D:D,Reunido!Y:Y,"",1)</f>
        <v>10854</v>
      </c>
      <c r="H81" s="41" cm="1">
        <f t="array" ref="H81">_xlfn.XLOOKUP(D81&amp;F81,Reunido!B:B&amp;Reunido!D:D,Reunido!AC:AC,"",1)</f>
        <v>24272.682900840242</v>
      </c>
      <c r="I81" s="42">
        <v>46143</v>
      </c>
      <c r="J81" s="39" t="str">
        <f t="shared" si="3"/>
        <v xml:space="preserve">Decorative Papers </v>
      </c>
    </row>
    <row r="82" spans="1:10" s="39" customFormat="1" x14ac:dyDescent="0.2">
      <c r="A82" s="39" t="str">
        <f t="shared" si="2"/>
        <v>Curitiba</v>
      </c>
      <c r="B82" s="39" t="str">
        <f>_xlfn.XLOOKUP(D82,Reunido!B:B,Reunido!A:A,"",0)</f>
        <v>MUNK04 / MUNKSJO PAPER S/A DETTINGEN / DEU</v>
      </c>
      <c r="C82" s="39" t="str">
        <f>IF(D82&lt;&gt;0,IF(_xlfn.XLOOKUP(D82,Reunido!B:B,Reunido!BQ:BQ,"",0)="Print",$O$2,IF(_xlfn.XLOOKUP(D82,Reunido!B:B,Reunido!BQ:BQ,"",0)="IP",$O$3,IF(_xlfn.XLOOKUP(D82,Reunido!B:B,Reunido!BQ:BQ,"",0)="FF",$O$4,""))),"")</f>
        <v>Finish Foils</v>
      </c>
      <c r="D82" s="39" t="s">
        <v>154</v>
      </c>
      <c r="E82" s="39" t="s">
        <v>155</v>
      </c>
      <c r="F82" s="86">
        <v>1880</v>
      </c>
      <c r="G82" s="41" cm="1">
        <f t="array" ref="G82">_xlfn.XLOOKUP(D82&amp;F82,Reunido!B:B&amp;Reunido!D:D,Reunido!Y:Y,"",1)</f>
        <v>48397</v>
      </c>
      <c r="H82" s="41" cm="1">
        <f t="array" ref="H82">_xlfn.XLOOKUP(D82&amp;F82,Reunido!B:B&amp;Reunido!D:D,Reunido!AC:AC,"",1)</f>
        <v>125304.01179667241</v>
      </c>
      <c r="I82" s="42">
        <v>46143</v>
      </c>
      <c r="J82" s="39" t="str">
        <f t="shared" si="3"/>
        <v>Finish Foils</v>
      </c>
    </row>
    <row r="83" spans="1:10" s="39" customFormat="1" x14ac:dyDescent="0.2">
      <c r="A83" s="39" t="str">
        <f t="shared" si="2"/>
        <v>Curitiba</v>
      </c>
      <c r="B83" s="39" t="str">
        <f>_xlfn.XLOOKUP(D83,Reunido!B:B,Reunido!A:A,"",0)</f>
        <v>MUNK09 / MUNKSJO CAIEIRAS LTDA / BRA</v>
      </c>
      <c r="C83" s="39" t="str">
        <f>IF(D83&lt;&gt;0,IF(_xlfn.XLOOKUP(D83,Reunido!B:B,Reunido!BQ:BQ,"",0)="Print",$O$2,IF(_xlfn.XLOOKUP(D83,Reunido!B:B,Reunido!BQ:BQ,"",0)="IP",$O$3,IF(_xlfn.XLOOKUP(D83,Reunido!B:B,Reunido!BQ:BQ,"",0)="FF",$O$4,""))),"")</f>
        <v xml:space="preserve">Decorative Papers </v>
      </c>
      <c r="D83" s="39" t="s">
        <v>162</v>
      </c>
      <c r="E83" s="39" t="s">
        <v>163</v>
      </c>
      <c r="F83" s="86">
        <v>2175</v>
      </c>
      <c r="G83" s="41" cm="1">
        <f t="array" ref="G83">_xlfn.XLOOKUP(D83&amp;F83,Reunido!B:B&amp;Reunido!D:D,Reunido!Y:Y,"",1)</f>
        <v>21078</v>
      </c>
      <c r="H83" s="41" cm="1">
        <f t="array" ref="H83">_xlfn.XLOOKUP(D83&amp;F83,Reunido!B:B&amp;Reunido!D:D,Reunido!AC:AC,"",1)</f>
        <v>66741.863578633318</v>
      </c>
      <c r="I83" s="42">
        <v>46143</v>
      </c>
      <c r="J83" s="39" t="str">
        <f t="shared" si="3"/>
        <v xml:space="preserve">Decorative Papers </v>
      </c>
    </row>
    <row r="84" spans="1:10" s="39" customFormat="1" x14ac:dyDescent="0.2">
      <c r="A84" s="39" t="str">
        <f t="shared" si="2"/>
        <v>Curitiba</v>
      </c>
      <c r="B84" s="39" t="str">
        <f>_xlfn.XLOOKUP(D84,Reunido!B:B,Reunido!A:A,"",0)</f>
        <v>MUNK09 / MUNKSJO CAIEIRAS LTDA / BRA</v>
      </c>
      <c r="C84" s="39" t="str">
        <f>IF(D84&lt;&gt;0,IF(_xlfn.XLOOKUP(D84,Reunido!B:B,Reunido!BQ:BQ,"",0)="Print",$O$2,IF(_xlfn.XLOOKUP(D84,Reunido!B:B,Reunido!BQ:BQ,"",0)="IP",$O$3,IF(_xlfn.XLOOKUP(D84,Reunido!B:B,Reunido!BQ:BQ,"",0)="FF",$O$4,""))),"")</f>
        <v>Impregnated Papers</v>
      </c>
      <c r="D84" s="39" t="s">
        <v>160</v>
      </c>
      <c r="E84" s="39" t="s">
        <v>161</v>
      </c>
      <c r="F84" s="86">
        <v>1855</v>
      </c>
      <c r="G84" s="41" cm="1">
        <f t="array" ref="G84">_xlfn.XLOOKUP(D84&amp;F84,Reunido!B:B&amp;Reunido!D:D,Reunido!Y:Y,"",1)</f>
        <v>5374</v>
      </c>
      <c r="H84" s="41" cm="1">
        <f t="array" ref="H84">_xlfn.XLOOKUP(D84&amp;F84,Reunido!B:B&amp;Reunido!D:D,Reunido!AC:AC,"",1)</f>
        <v>22390.812894532872</v>
      </c>
      <c r="I84" s="42">
        <v>46143</v>
      </c>
      <c r="J84" s="39" t="str">
        <f t="shared" si="3"/>
        <v>Impregnated Papers</v>
      </c>
    </row>
    <row r="85" spans="1:10" s="39" customFormat="1" x14ac:dyDescent="0.2">
      <c r="A85" s="39" t="str">
        <f t="shared" si="2"/>
        <v>Curitiba</v>
      </c>
      <c r="B85" s="39" t="str">
        <f>_xlfn.XLOOKUP(D85,Reunido!B:B,Reunido!A:A,"",0)</f>
        <v>MUNK09 / MUNKSJO CAIEIRAS LTDA / BRA</v>
      </c>
      <c r="C85" s="39" t="str">
        <f>IF(D85&lt;&gt;0,IF(_xlfn.XLOOKUP(D85,Reunido!B:B,Reunido!BQ:BQ,"",0)="Print",$O$2,IF(_xlfn.XLOOKUP(D85,Reunido!B:B,Reunido!BQ:BQ,"",0)="IP",$O$3,IF(_xlfn.XLOOKUP(D85,Reunido!B:B,Reunido!BQ:BQ,"",0)="FF",$O$4,""))),"")</f>
        <v>Impregnated Papers</v>
      </c>
      <c r="D85" s="39" t="s">
        <v>213</v>
      </c>
      <c r="E85" s="39" t="s">
        <v>214</v>
      </c>
      <c r="F85" s="86">
        <v>1855</v>
      </c>
      <c r="G85" s="41" cm="1">
        <f t="array" ref="G85">_xlfn.XLOOKUP(D85&amp;F85,Reunido!B:B&amp;Reunido!D:D,Reunido!Y:Y,"",1)</f>
        <v>11561</v>
      </c>
      <c r="H85" s="41" cm="1">
        <f t="array" ref="H85">_xlfn.XLOOKUP(D85&amp;F85,Reunido!B:B&amp;Reunido!D:D,Reunido!AC:AC,"",1)</f>
        <v>63098.575428067626</v>
      </c>
      <c r="I85" s="42">
        <v>46143</v>
      </c>
      <c r="J85" s="39" t="str">
        <f t="shared" si="3"/>
        <v>Impregnated Papers</v>
      </c>
    </row>
    <row r="86" spans="1:10" s="39" customFormat="1" x14ac:dyDescent="0.2">
      <c r="A86" s="39" t="str">
        <f t="shared" si="2"/>
        <v>Curitiba</v>
      </c>
      <c r="B86" s="39" t="str">
        <f>_xlfn.XLOOKUP(D86,Reunido!B:B,Reunido!A:A,"",0)</f>
        <v>MUNK09 / MUNKSJO CAIEIRAS LTDA / BRA</v>
      </c>
      <c r="C86" s="39" t="str">
        <f>IF(D86&lt;&gt;0,IF(_xlfn.XLOOKUP(D86,Reunido!B:B,Reunido!BQ:BQ,"",0)="Print",$O$2,IF(_xlfn.XLOOKUP(D86,Reunido!B:B,Reunido!BQ:BQ,"",0)="IP",$O$3,IF(_xlfn.XLOOKUP(D86,Reunido!B:B,Reunido!BQ:BQ,"",0)="FF",$O$4,""))),"")</f>
        <v xml:space="preserve">Decorative Papers </v>
      </c>
      <c r="D86" s="39" t="s">
        <v>162</v>
      </c>
      <c r="E86" s="39" t="s">
        <v>163</v>
      </c>
      <c r="F86" s="86">
        <v>1270</v>
      </c>
      <c r="G86" s="41" cm="1">
        <f t="array" ref="G86">_xlfn.XLOOKUP(D86&amp;F86,Reunido!B:B&amp;Reunido!D:D,Reunido!Y:Y,"",1)</f>
        <v>18333</v>
      </c>
      <c r="H86" s="41" cm="1">
        <f t="array" ref="H86">_xlfn.XLOOKUP(D86&amp;F86,Reunido!B:B&amp;Reunido!D:D,Reunido!AC:AC,"",1)</f>
        <v>58050.034458520022</v>
      </c>
      <c r="I86" s="42">
        <v>46143</v>
      </c>
      <c r="J86" s="39" t="str">
        <f t="shared" si="3"/>
        <v xml:space="preserve">Decorative Papers </v>
      </c>
    </row>
    <row r="87" spans="1:10" s="39" customFormat="1" x14ac:dyDescent="0.2">
      <c r="A87" s="39" t="str">
        <f t="shared" si="2"/>
        <v>Curitiba</v>
      </c>
      <c r="B87" s="39" t="str">
        <f>_xlfn.XLOOKUP(D87,Reunido!B:B,Reunido!A:A,"",0)</f>
        <v>MUNK09 / MUNKSJO CAIEIRAS LTDA / BRA</v>
      </c>
      <c r="C87" s="39" t="str">
        <f>IF(D87&lt;&gt;0,IF(_xlfn.XLOOKUP(D87,Reunido!B:B,Reunido!BQ:BQ,"",0)="Print",$O$2,IF(_xlfn.XLOOKUP(D87,Reunido!B:B,Reunido!BQ:BQ,"",0)="IP",$O$3,IF(_xlfn.XLOOKUP(D87,Reunido!B:B,Reunido!BQ:BQ,"",0)="FF",$O$4,""))),"")</f>
        <v>Impregnated Papers</v>
      </c>
      <c r="D87" s="39" t="s">
        <v>223</v>
      </c>
      <c r="E87" s="39" t="s">
        <v>224</v>
      </c>
      <c r="F87" s="86">
        <v>2080</v>
      </c>
      <c r="G87" s="41" cm="1">
        <f t="array" ref="G87">_xlfn.XLOOKUP(D87&amp;F87,Reunido!B:B&amp;Reunido!D:D,Reunido!Y:Y,"",1)</f>
        <v>20123</v>
      </c>
      <c r="H87" s="41" cm="1">
        <f t="array" ref="H87">_xlfn.XLOOKUP(D87&amp;F87,Reunido!B:B&amp;Reunido!D:D,Reunido!AC:AC,"",1)</f>
        <v>48938.021066959533</v>
      </c>
      <c r="I87" s="42">
        <v>46143</v>
      </c>
      <c r="J87" s="39" t="str">
        <f t="shared" si="3"/>
        <v>Impregnated Papers</v>
      </c>
    </row>
    <row r="88" spans="1:10" s="39" customFormat="1" x14ac:dyDescent="0.2">
      <c r="A88" s="39" t="str">
        <f t="shared" si="2"/>
        <v>Curitiba</v>
      </c>
      <c r="B88" s="39" t="str">
        <f>_xlfn.XLOOKUP(D88,Reunido!B:B,Reunido!A:A,"",0)</f>
        <v>SUNS01 / CENTURY SUNSHINE (SHOUGUANG) SPECIALTY PAPER CO., LTD.</v>
      </c>
      <c r="C88" s="39" t="str">
        <f>IF(D88&lt;&gt;0,IF(_xlfn.XLOOKUP(D88,Reunido!B:B,Reunido!BQ:BQ,"",0)="Print",$O$2,IF(_xlfn.XLOOKUP(D88,Reunido!B:B,Reunido!BQ:BQ,"",0)="IP",$O$3,IF(_xlfn.XLOOKUP(D88,Reunido!B:B,Reunido!BQ:BQ,"",0)="FF",$O$4,""))),"")</f>
        <v xml:space="preserve">Decorative Papers </v>
      </c>
      <c r="D88" s="39" t="s">
        <v>130</v>
      </c>
      <c r="E88" s="39" t="s">
        <v>131</v>
      </c>
      <c r="F88" s="86">
        <v>1870</v>
      </c>
      <c r="G88" s="41" cm="1">
        <f t="array" ref="G88">_xlfn.XLOOKUP(D88&amp;F88,Reunido!B:B&amp;Reunido!D:D,Reunido!Y:Y,"",1)</f>
        <v>102506</v>
      </c>
      <c r="H88" s="41" cm="1">
        <f t="array" ref="H88">_xlfn.XLOOKUP(D88&amp;F88,Reunido!B:B&amp;Reunido!D:D,Reunido!AC:AC,"",1)</f>
        <v>195923.83893692459</v>
      </c>
      <c r="I88" s="42">
        <v>46143</v>
      </c>
      <c r="J88" s="39" t="str">
        <f t="shared" si="3"/>
        <v xml:space="preserve">Decorative Papers </v>
      </c>
    </row>
    <row r="89" spans="1:10" s="39" customFormat="1" x14ac:dyDescent="0.2">
      <c r="A89" s="39" t="str">
        <f t="shared" si="2"/>
        <v>Curitiba</v>
      </c>
      <c r="B89" s="39" t="str">
        <f>_xlfn.XLOOKUP(D89,Reunido!B:B,Reunido!A:A,"",0)</f>
        <v>SUNS01 / CENTURY SUNSHINE (SHOUGUANG) SPECIALTY PAPER CO., LTD.</v>
      </c>
      <c r="C89" s="39" t="str">
        <f>IF(D89&lt;&gt;0,IF(_xlfn.XLOOKUP(D89,Reunido!B:B,Reunido!BQ:BQ,"",0)="Print",$O$2,IF(_xlfn.XLOOKUP(D89,Reunido!B:B,Reunido!BQ:BQ,"",0)="IP",$O$3,IF(_xlfn.XLOOKUP(D89,Reunido!B:B,Reunido!BQ:BQ,"",0)="FF",$O$4,""))),"")</f>
        <v>Impregnated Papers</v>
      </c>
      <c r="D89" s="39" t="s">
        <v>128</v>
      </c>
      <c r="E89" s="39" t="s">
        <v>129</v>
      </c>
      <c r="F89" s="86">
        <v>1855</v>
      </c>
      <c r="G89" s="41" cm="1">
        <f t="array" ref="G89">_xlfn.XLOOKUP(D89&amp;F89,Reunido!B:B&amp;Reunido!D:D,Reunido!Y:Y,"",1)</f>
        <v>298861</v>
      </c>
      <c r="H89" s="41" cm="1">
        <f t="array" ref="H89">_xlfn.XLOOKUP(D89&amp;F89,Reunido!B:B&amp;Reunido!D:D,Reunido!AC:AC,"",1)</f>
        <v>566617.77165945701</v>
      </c>
      <c r="I89" s="42">
        <v>46143</v>
      </c>
      <c r="J89" s="39" t="str">
        <f t="shared" si="3"/>
        <v>Impregnated Papers</v>
      </c>
    </row>
    <row r="90" spans="1:10" s="39" customFormat="1" x14ac:dyDescent="0.2">
      <c r="A90" s="39" t="str">
        <f t="shared" si="2"/>
        <v>Curitiba</v>
      </c>
      <c r="B90" s="39" t="str">
        <f>_xlfn.XLOOKUP(D90,Reunido!B:B,Reunido!A:A,"",0)</f>
        <v>SUNS01 / CENTURY SUNSHINE (SHOUGUANG) SPECIALTY PAPER CO., LTD.</v>
      </c>
      <c r="C90" s="39" t="str">
        <f>IF(D90&lt;&gt;0,IF(_xlfn.XLOOKUP(D90,Reunido!B:B,Reunido!BQ:BQ,"",0)="Print",$O$2,IF(_xlfn.XLOOKUP(D90,Reunido!B:B,Reunido!BQ:BQ,"",0)="IP",$O$3,IF(_xlfn.XLOOKUP(D90,Reunido!B:B,Reunido!BQ:BQ,"",0)="FF",$O$4,""))),"")</f>
        <v xml:space="preserve">Decorative Papers </v>
      </c>
      <c r="D90" s="39" t="s">
        <v>219</v>
      </c>
      <c r="E90" s="39" t="s">
        <v>220</v>
      </c>
      <c r="F90" s="86">
        <v>1870</v>
      </c>
      <c r="G90" s="41" cm="1">
        <f t="array" ref="G90">_xlfn.XLOOKUP(D90&amp;F90,Reunido!B:B&amp;Reunido!D:D,Reunido!Y:Y,"",1)</f>
        <v>25115</v>
      </c>
      <c r="H90" s="41" cm="1">
        <f t="array" ref="H90">_xlfn.XLOOKUP(D90&amp;F90,Reunido!B:B&amp;Reunido!D:D,Reunido!AC:AC,"",1)</f>
        <v>52338.056126999843</v>
      </c>
      <c r="I90" s="42">
        <v>46143</v>
      </c>
      <c r="J90" s="39" t="str">
        <f t="shared" si="3"/>
        <v xml:space="preserve">Decorative Papers </v>
      </c>
    </row>
    <row r="91" spans="1:10" s="39" customFormat="1" x14ac:dyDescent="0.2">
      <c r="A91" s="39" t="str">
        <f t="shared" si="2"/>
        <v>Curitiba</v>
      </c>
      <c r="B91" s="39" t="str">
        <f>_xlfn.XLOOKUP(D91,Reunido!B:B,Reunido!A:A,"",0)</f>
        <v>TECH01 / Felix Schoeller GmbH &amp; Co. / DEU</v>
      </c>
      <c r="C91" s="39" t="str">
        <f>IF(D91&lt;&gt;0,IF(_xlfn.XLOOKUP(D91,Reunido!B:B,Reunido!BQ:BQ,"",0)="Print",$O$2,IF(_xlfn.XLOOKUP(D91,Reunido!B:B,Reunido!BQ:BQ,"",0)="IP",$O$3,IF(_xlfn.XLOOKUP(D91,Reunido!B:B,Reunido!BQ:BQ,"",0)="FF",$O$4,""))),"")</f>
        <v xml:space="preserve">Decorative Papers </v>
      </c>
      <c r="D91" s="39" t="s">
        <v>170</v>
      </c>
      <c r="E91" s="39" t="s">
        <v>171</v>
      </c>
      <c r="F91" s="86">
        <v>1870</v>
      </c>
      <c r="G91" s="41" cm="1">
        <f t="array" ref="G91">_xlfn.XLOOKUP(D91&amp;F91,Reunido!B:B&amp;Reunido!D:D,Reunido!Y:Y,"",1)</f>
        <v>45359</v>
      </c>
      <c r="H91" s="41" cm="1">
        <f t="array" ref="H91">_xlfn.XLOOKUP(D91&amp;F91,Reunido!B:B&amp;Reunido!D:D,Reunido!AC:AC,"",1)</f>
        <v>128813.36543733103</v>
      </c>
      <c r="I91" s="42">
        <v>46143</v>
      </c>
      <c r="J91" s="39" t="str">
        <f t="shared" si="3"/>
        <v xml:space="preserve">Decorative Papers </v>
      </c>
    </row>
    <row r="92" spans="1:10" s="39" customFormat="1" x14ac:dyDescent="0.2">
      <c r="A92" s="39" t="str">
        <f t="shared" si="2"/>
        <v>Curitiba</v>
      </c>
      <c r="B92" s="39" t="str">
        <f>_xlfn.XLOOKUP(D92,Reunido!B:B,Reunido!A:A,"",0)</f>
        <v>HUAW01 / HANGZHOU HUAWANG NEW MATERIAL TECHNOLOGY CO.</v>
      </c>
      <c r="C92" s="39" t="str">
        <f>IF(D92&lt;&gt;0,IF(_xlfn.XLOOKUP(D92,Reunido!B:B,Reunido!BQ:BQ,"",0)="Print",$O$2,IF(_xlfn.XLOOKUP(D92,Reunido!B:B,Reunido!BQ:BQ,"",0)="IP",$O$3,IF(_xlfn.XLOOKUP(D92,Reunido!B:B,Reunido!BQ:BQ,"",0)="FF",$O$4,""))),"")</f>
        <v xml:space="preserve">Decorative Papers </v>
      </c>
      <c r="D92" s="39" t="s">
        <v>193</v>
      </c>
      <c r="E92" s="39" t="s">
        <v>194</v>
      </c>
      <c r="F92" s="86">
        <v>1870</v>
      </c>
      <c r="G92" s="41" cm="1">
        <f t="array" ref="G92">_xlfn.XLOOKUP(D92&amp;F92,Reunido!B:B&amp;Reunido!D:D,Reunido!AD:AD,"",1)</f>
        <v>49515</v>
      </c>
      <c r="H92" s="41" cm="1">
        <f t="array" ref="H92">_xlfn.XLOOKUP(D92&amp;F92,Reunido!B:B&amp;Reunido!D:D,Reunido!AH:AH,"",1)</f>
        <v>96538.122798452183</v>
      </c>
      <c r="I92" s="42">
        <v>46174</v>
      </c>
      <c r="J92" s="39" t="str">
        <f t="shared" si="3"/>
        <v xml:space="preserve">Decorative Papers </v>
      </c>
    </row>
    <row r="93" spans="1:10" s="39" customFormat="1" x14ac:dyDescent="0.2">
      <c r="A93" s="39" t="str">
        <f t="shared" si="2"/>
        <v>Curitiba</v>
      </c>
      <c r="B93" s="39" t="str">
        <f>_xlfn.XLOOKUP(D93,Reunido!B:B,Reunido!A:A,"",0)</f>
        <v>HUAW01 / HANGZHOU HUAWANG NEW MATERIAL TECHNOLOGY CO.</v>
      </c>
      <c r="C93" s="39" t="str">
        <f>IF(D93&lt;&gt;0,IF(_xlfn.XLOOKUP(D93,Reunido!B:B,Reunido!BQ:BQ,"",0)="Print",$O$2,IF(_xlfn.XLOOKUP(D93,Reunido!B:B,Reunido!BQ:BQ,"",0)="IP",$O$3,IF(_xlfn.XLOOKUP(D93,Reunido!B:B,Reunido!BQ:BQ,"",0)="FF",$O$4,""))),"")</f>
        <v xml:space="preserve">Decorative Papers </v>
      </c>
      <c r="D93" s="39" t="s">
        <v>195</v>
      </c>
      <c r="E93" s="39" t="s">
        <v>196</v>
      </c>
      <c r="F93" s="86">
        <v>1870</v>
      </c>
      <c r="G93" s="41" cm="1">
        <f t="array" ref="G93">_xlfn.XLOOKUP(D93&amp;F93,Reunido!B:B&amp;Reunido!D:D,Reunido!AD:AD,"",1)</f>
        <v>49727</v>
      </c>
      <c r="H93" s="41" cm="1">
        <f t="array" ref="H93">_xlfn.XLOOKUP(D93&amp;F93,Reunido!B:B&amp;Reunido!D:D,Reunido!AH:AH,"",1)</f>
        <v>96587.944172984644</v>
      </c>
      <c r="I93" s="42">
        <v>46174</v>
      </c>
      <c r="J93" s="39" t="str">
        <f t="shared" si="3"/>
        <v xml:space="preserve">Decorative Papers </v>
      </c>
    </row>
    <row r="94" spans="1:10" s="39" customFormat="1" x14ac:dyDescent="0.2">
      <c r="A94" s="39" t="str">
        <f t="shared" si="2"/>
        <v>Curitiba</v>
      </c>
      <c r="B94" s="39" t="str">
        <f>_xlfn.XLOOKUP(D94,Reunido!B:B,Reunido!A:A,"",0)</f>
        <v>KING01 / KINGDECOR (ZHEJIANG) CO., LTD</v>
      </c>
      <c r="C94" s="39" t="str">
        <f>IF(D94&lt;&gt;0,IF(_xlfn.XLOOKUP(D94,Reunido!B:B,Reunido!BQ:BQ,"",0)="Print",$O$2,IF(_xlfn.XLOOKUP(D94,Reunido!B:B,Reunido!BQ:BQ,"",0)="IP",$O$3,IF(_xlfn.XLOOKUP(D94,Reunido!B:B,Reunido!BQ:BQ,"",0)="FF",$O$4,""))),"")</f>
        <v>Finish Foils</v>
      </c>
      <c r="D94" s="39" t="s">
        <v>197</v>
      </c>
      <c r="E94" s="39" t="s">
        <v>198</v>
      </c>
      <c r="F94" s="86">
        <v>1880</v>
      </c>
      <c r="G94" s="41" cm="1">
        <f t="array" ref="G94">_xlfn.XLOOKUP(D94&amp;F94,Reunido!B:B&amp;Reunido!D:D,Reunido!AD:AD,"",1)</f>
        <v>50485</v>
      </c>
      <c r="H94" s="41" cm="1">
        <f t="array" ref="H94">_xlfn.XLOOKUP(D94&amp;F94,Reunido!B:B&amp;Reunido!D:D,Reunido!AH:AH,"",1)</f>
        <v>145050.66902843397</v>
      </c>
      <c r="I94" s="42">
        <v>46174</v>
      </c>
      <c r="J94" s="39" t="str">
        <f t="shared" si="3"/>
        <v>Finish Foils</v>
      </c>
    </row>
    <row r="95" spans="1:10" s="39" customFormat="1" x14ac:dyDescent="0.2">
      <c r="A95" s="39" t="str">
        <f t="shared" si="2"/>
        <v>Curitiba</v>
      </c>
      <c r="B95" s="39" t="str">
        <f>_xlfn.XLOOKUP(D95,Reunido!B:B,Reunido!A:A,"",0)</f>
        <v>KOEH02 / KOEHLER PAPER SE / DEU</v>
      </c>
      <c r="C95" s="39" t="str">
        <f>IF(D95&lt;&gt;0,IF(_xlfn.XLOOKUP(D95,Reunido!B:B,Reunido!BQ:BQ,"",0)="Print",$O$2,IF(_xlfn.XLOOKUP(D95,Reunido!B:B,Reunido!BQ:BQ,"",0)="IP",$O$3,IF(_xlfn.XLOOKUP(D95,Reunido!B:B,Reunido!BQ:BQ,"",0)="FF",$O$4,""))),"")</f>
        <v xml:space="preserve">Decorative Papers </v>
      </c>
      <c r="D95" s="39" t="s">
        <v>138</v>
      </c>
      <c r="E95" s="39" t="s">
        <v>139</v>
      </c>
      <c r="F95" s="86">
        <v>1870</v>
      </c>
      <c r="G95" s="41" cm="1">
        <f t="array" ref="G95">_xlfn.XLOOKUP(D95&amp;F95,Reunido!B:B&amp;Reunido!D:D,Reunido!AD:AD,"",1)</f>
        <v>49574</v>
      </c>
      <c r="H95" s="41" cm="1">
        <f t="array" ref="H95">_xlfn.XLOOKUP(D95&amp;F95,Reunido!B:B&amp;Reunido!D:D,Reunido!AH:AH,"",1)</f>
        <v>101610.50270944207</v>
      </c>
      <c r="I95" s="42">
        <v>46174</v>
      </c>
      <c r="J95" s="39" t="str">
        <f t="shared" si="3"/>
        <v xml:space="preserve">Decorative Papers </v>
      </c>
    </row>
    <row r="96" spans="1:10" s="39" customFormat="1" x14ac:dyDescent="0.2">
      <c r="A96" s="39" t="str">
        <f t="shared" si="2"/>
        <v>Curitiba</v>
      </c>
      <c r="B96" s="39" t="str">
        <f>_xlfn.XLOOKUP(D96,Reunido!B:B,Reunido!A:A,"",0)</f>
        <v>KOEH02 / KOEHLER PAPER SE / DEU</v>
      </c>
      <c r="C96" s="39" t="str">
        <f>IF(D96&lt;&gt;0,IF(_xlfn.XLOOKUP(D96,Reunido!B:B,Reunido!BQ:BQ,"",0)="Print",$O$2,IF(_xlfn.XLOOKUP(D96,Reunido!B:B,Reunido!BQ:BQ,"",0)="IP",$O$3,IF(_xlfn.XLOOKUP(D96,Reunido!B:B,Reunido!BQ:BQ,"",0)="FF",$O$4,""))),"")</f>
        <v xml:space="preserve">Decorative Papers </v>
      </c>
      <c r="D96" s="39" t="s">
        <v>140</v>
      </c>
      <c r="E96" s="39" t="s">
        <v>141</v>
      </c>
      <c r="F96" s="86">
        <v>2175</v>
      </c>
      <c r="G96" s="41" cm="1">
        <f t="array" ref="G96">_xlfn.XLOOKUP(D96&amp;F96,Reunido!B:B&amp;Reunido!D:D,Reunido!AD:AD,"",1)</f>
        <v>10143</v>
      </c>
      <c r="H96" s="41" cm="1">
        <f t="array" ref="H96">_xlfn.XLOOKUP(D96&amp;F96,Reunido!B:B&amp;Reunido!D:D,Reunido!AH:AH,"",1)</f>
        <v>18807.852741923114</v>
      </c>
      <c r="I96" s="42">
        <v>46174</v>
      </c>
      <c r="J96" s="39" t="str">
        <f t="shared" si="3"/>
        <v xml:space="preserve">Decorative Papers </v>
      </c>
    </row>
    <row r="97" spans="1:10" s="39" customFormat="1" x14ac:dyDescent="0.2">
      <c r="A97" s="39" t="str">
        <f t="shared" si="2"/>
        <v>Curitiba</v>
      </c>
      <c r="B97" s="39" t="str">
        <f>_xlfn.XLOOKUP(D97,Reunido!B:B,Reunido!A:A,"",0)</f>
        <v>KOEH02 / KOEHLER PAPER SE / DEU</v>
      </c>
      <c r="C97" s="39" t="str">
        <f>IF(D97&lt;&gt;0,IF(_xlfn.XLOOKUP(D97,Reunido!B:B,Reunido!BQ:BQ,"",0)="Print",$O$2,IF(_xlfn.XLOOKUP(D97,Reunido!B:B,Reunido!BQ:BQ,"",0)="IP",$O$3,IF(_xlfn.XLOOKUP(D97,Reunido!B:B,Reunido!BQ:BQ,"",0)="FF",$O$4,""))),"")</f>
        <v xml:space="preserve">Decorative Papers </v>
      </c>
      <c r="D97" s="39" t="s">
        <v>232</v>
      </c>
      <c r="E97" s="39" t="s">
        <v>233</v>
      </c>
      <c r="F97" s="86">
        <v>1870</v>
      </c>
      <c r="G97" s="41" cm="1">
        <f t="array" ref="G97">_xlfn.XLOOKUP(D97&amp;F97,Reunido!B:B&amp;Reunido!D:D,Reunido!AD:AD,"",1)</f>
        <v>24967</v>
      </c>
      <c r="H97" s="41" cm="1">
        <f t="array" ref="H97">_xlfn.XLOOKUP(D97&amp;F97,Reunido!B:B&amp;Reunido!D:D,Reunido!AH:AH,"",1)</f>
        <v>49493.462477354064</v>
      </c>
      <c r="I97" s="42">
        <v>46174</v>
      </c>
      <c r="J97" s="39" t="str">
        <f t="shared" si="3"/>
        <v xml:space="preserve">Decorative Papers </v>
      </c>
    </row>
    <row r="98" spans="1:10" s="39" customFormat="1" x14ac:dyDescent="0.2">
      <c r="A98" s="39" t="str">
        <f t="shared" si="2"/>
        <v>Curitiba</v>
      </c>
      <c r="B98" s="39" t="str">
        <f>_xlfn.XLOOKUP(D98,Reunido!B:B,Reunido!A:A,"",0)</f>
        <v>MALT01 / MALTA-DECOR SP. Z O. O. / POL</v>
      </c>
      <c r="C98" s="39" t="str">
        <f>IF(D98&lt;&gt;0,IF(_xlfn.XLOOKUP(D98,Reunido!B:B,Reunido!BQ:BQ,"",0)="Print",$O$2,IF(_xlfn.XLOOKUP(D98,Reunido!B:B,Reunido!BQ:BQ,"",0)="IP",$O$3,IF(_xlfn.XLOOKUP(D98,Reunido!B:B,Reunido!BQ:BQ,"",0)="FF",$O$4,""))),"")</f>
        <v xml:space="preserve">Decorative Papers </v>
      </c>
      <c r="D98" s="39" t="s">
        <v>234</v>
      </c>
      <c r="E98" s="39" t="s">
        <v>235</v>
      </c>
      <c r="F98" s="86">
        <v>1870</v>
      </c>
      <c r="G98" s="41" cm="1">
        <f t="array" ref="G98">_xlfn.XLOOKUP(D98&amp;F98,Reunido!B:B&amp;Reunido!D:D,Reunido!AD:AD,"",1)</f>
        <v>1034</v>
      </c>
      <c r="H98" s="41" cm="1">
        <f t="array" ref="H98">_xlfn.XLOOKUP(D98&amp;F98,Reunido!B:B&amp;Reunido!D:D,Reunido!AH:AH,"",1)</f>
        <v>2249.6759563745522</v>
      </c>
      <c r="I98" s="42">
        <v>46174</v>
      </c>
      <c r="J98" s="39" t="str">
        <f t="shared" si="3"/>
        <v xml:space="preserve">Decorative Papers </v>
      </c>
    </row>
    <row r="99" spans="1:10" s="39" customFormat="1" x14ac:dyDescent="0.2">
      <c r="A99" s="39" t="str">
        <f t="shared" si="2"/>
        <v>Curitiba</v>
      </c>
      <c r="B99" s="39" t="str">
        <f>_xlfn.XLOOKUP(D99,Reunido!B:B,Reunido!A:A,"",0)</f>
        <v>MLTV01 / VF PAPEIS S.A. / BRA</v>
      </c>
      <c r="C99" s="39" t="str">
        <f>IF(D99&lt;&gt;0,IF(_xlfn.XLOOKUP(D99,Reunido!B:B,Reunido!BQ:BQ,"",0)="Print",$O$2,IF(_xlfn.XLOOKUP(D99,Reunido!B:B,Reunido!BQ:BQ,"",0)="IP",$O$3,IF(_xlfn.XLOOKUP(D99,Reunido!B:B,Reunido!BQ:BQ,"",0)="FF",$O$4,""))),"")</f>
        <v>Finish Foils</v>
      </c>
      <c r="D99" s="39" t="s">
        <v>146</v>
      </c>
      <c r="E99" s="39" t="s">
        <v>147</v>
      </c>
      <c r="F99" s="86">
        <v>1900</v>
      </c>
      <c r="G99" s="41" cm="1">
        <f t="array" ref="G99">_xlfn.XLOOKUP(D99&amp;F99,Reunido!B:B&amp;Reunido!D:D,Reunido!AD:AD,"",1)</f>
        <v>12201</v>
      </c>
      <c r="H99" s="41" cm="1">
        <f t="array" ref="H99">_xlfn.XLOOKUP(D99&amp;F99,Reunido!B:B&amp;Reunido!D:D,Reunido!AH:AH,"",1)</f>
        <v>38538.693092637492</v>
      </c>
      <c r="I99" s="42">
        <v>46174</v>
      </c>
      <c r="J99" s="39" t="str">
        <f t="shared" si="3"/>
        <v>Finish Foils</v>
      </c>
    </row>
    <row r="100" spans="1:10" s="39" customFormat="1" x14ac:dyDescent="0.2">
      <c r="A100" s="39" t="str">
        <f t="shared" si="2"/>
        <v>Curitiba</v>
      </c>
      <c r="B100" s="39" t="str">
        <f>_xlfn.XLOOKUP(D100,Reunido!B:B,Reunido!A:A,"",0)</f>
        <v>MLTV01 / VF PAPEIS S.A. / BRA</v>
      </c>
      <c r="C100" s="39" t="str">
        <f>IF(D100&lt;&gt;0,IF(_xlfn.XLOOKUP(D100,Reunido!B:B,Reunido!BQ:BQ,"",0)="Print",$O$2,IF(_xlfn.XLOOKUP(D100,Reunido!B:B,Reunido!BQ:BQ,"",0)="IP",$O$3,IF(_xlfn.XLOOKUP(D100,Reunido!B:B,Reunido!BQ:BQ,"",0)="FF",$O$4,""))),"")</f>
        <v>Finish Foils</v>
      </c>
      <c r="D100" s="39" t="s">
        <v>150</v>
      </c>
      <c r="E100" s="39" t="s">
        <v>151</v>
      </c>
      <c r="F100" s="86">
        <v>1900</v>
      </c>
      <c r="G100" s="41" cm="1">
        <f t="array" ref="G100">_xlfn.XLOOKUP(D100&amp;F100,Reunido!B:B&amp;Reunido!D:D,Reunido!AD:AD,"",1)</f>
        <v>12000</v>
      </c>
      <c r="H100" s="41" cm="1">
        <f t="array" ref="H100">_xlfn.XLOOKUP(D100&amp;F100,Reunido!B:B&amp;Reunido!D:D,Reunido!AH:AH,"",1)</f>
        <v>44896.259073503941</v>
      </c>
      <c r="I100" s="42">
        <v>46174</v>
      </c>
      <c r="J100" s="39" t="str">
        <f t="shared" si="3"/>
        <v>Finish Foils</v>
      </c>
    </row>
    <row r="101" spans="1:10" s="39" customFormat="1" x14ac:dyDescent="0.2">
      <c r="A101" s="39" t="str">
        <f t="shared" si="2"/>
        <v>Curitiba</v>
      </c>
      <c r="B101" s="39" t="str">
        <f>_xlfn.XLOOKUP(D101,Reunido!B:B,Reunido!A:A,"",0)</f>
        <v>MUNK04 / MUNKSJO PAPER S/A DETTINGEN / DEU</v>
      </c>
      <c r="C101" s="39" t="str">
        <f>IF(D101&lt;&gt;0,IF(_xlfn.XLOOKUP(D101,Reunido!B:B,Reunido!BQ:BQ,"",0)="Print",$O$2,IF(_xlfn.XLOOKUP(D101,Reunido!B:B,Reunido!BQ:BQ,"",0)="IP",$O$3,IF(_xlfn.XLOOKUP(D101,Reunido!B:B,Reunido!BQ:BQ,"",0)="FF",$O$4,""))),"")</f>
        <v>Finish Foils</v>
      </c>
      <c r="D101" s="39" t="s">
        <v>154</v>
      </c>
      <c r="E101" s="39" t="s">
        <v>155</v>
      </c>
      <c r="F101" s="86">
        <v>1880</v>
      </c>
      <c r="G101" s="41" cm="1">
        <f t="array" ref="G101">_xlfn.XLOOKUP(D101&amp;F101,Reunido!B:B&amp;Reunido!D:D,Reunido!AD:AD,"",1)</f>
        <v>24241</v>
      </c>
      <c r="H101" s="41" cm="1">
        <f t="array" ref="H101">_xlfn.XLOOKUP(D101&amp;F101,Reunido!B:B&amp;Reunido!D:D,Reunido!AH:AH,"",1)</f>
        <v>63681.745663480426</v>
      </c>
      <c r="I101" s="42">
        <v>46174</v>
      </c>
      <c r="J101" s="39" t="str">
        <f t="shared" si="3"/>
        <v>Finish Foils</v>
      </c>
    </row>
    <row r="102" spans="1:10" s="39" customFormat="1" x14ac:dyDescent="0.2">
      <c r="A102" s="39" t="str">
        <f t="shared" si="2"/>
        <v>Curitiba</v>
      </c>
      <c r="B102" s="39" t="str">
        <f>_xlfn.XLOOKUP(D102,Reunido!B:B,Reunido!A:A,"",0)</f>
        <v>MUNK04 / MUNKSJO PAPER S/A DETTINGEN / DEU</v>
      </c>
      <c r="C102" s="39" t="str">
        <f>IF(D102&lt;&gt;0,IF(_xlfn.XLOOKUP(D102,Reunido!B:B,Reunido!BQ:BQ,"",0)="Print",$O$2,IF(_xlfn.XLOOKUP(D102,Reunido!B:B,Reunido!BQ:BQ,"",0)="IP",$O$3,IF(_xlfn.XLOOKUP(D102,Reunido!B:B,Reunido!BQ:BQ,"",0)="FF",$O$4,""))),"")</f>
        <v>Impregnated Papers</v>
      </c>
      <c r="D102" s="39" t="s">
        <v>226</v>
      </c>
      <c r="E102" s="39" t="s">
        <v>227</v>
      </c>
      <c r="F102" s="86">
        <v>1860</v>
      </c>
      <c r="G102" s="41" cm="1">
        <f t="array" ref="G102">_xlfn.XLOOKUP(D102&amp;F102,Reunido!B:B&amp;Reunido!D:D,Reunido!AD:AD,"",1)</f>
        <v>818</v>
      </c>
      <c r="H102" s="41" cm="1">
        <f t="array" ref="H102">_xlfn.XLOOKUP(D102&amp;F102,Reunido!B:B&amp;Reunido!D:D,Reunido!AH:AH,"",1)</f>
        <v>2269.1679612003045</v>
      </c>
      <c r="I102" s="42">
        <v>46174</v>
      </c>
      <c r="J102" s="39" t="str">
        <f t="shared" si="3"/>
        <v>Impregnated Papers</v>
      </c>
    </row>
    <row r="103" spans="1:10" s="39" customFormat="1" x14ac:dyDescent="0.2">
      <c r="A103" s="39" t="str">
        <f t="shared" si="2"/>
        <v>Curitiba</v>
      </c>
      <c r="B103" s="39" t="str">
        <f>_xlfn.XLOOKUP(D103,Reunido!B:B,Reunido!A:A,"",0)</f>
        <v>MUNK07 / MUNKSJO TOLOSA S.A.U.  / ESP</v>
      </c>
      <c r="C103" s="39" t="str">
        <f>IF(D103&lt;&gt;0,IF(_xlfn.XLOOKUP(D103,Reunido!B:B,Reunido!BQ:BQ,"",0)="Print",$O$2,IF(_xlfn.XLOOKUP(D103,Reunido!B:B,Reunido!BQ:BQ,"",0)="IP",$O$3,IF(_xlfn.XLOOKUP(D103,Reunido!B:B,Reunido!BQ:BQ,"",0)="FF",$O$4,""))),"")</f>
        <v xml:space="preserve">Decorative Papers </v>
      </c>
      <c r="D103" s="39" t="s">
        <v>156</v>
      </c>
      <c r="E103" s="39" t="s">
        <v>157</v>
      </c>
      <c r="F103" s="86">
        <v>1860</v>
      </c>
      <c r="G103" s="41" cm="1">
        <f t="array" ref="G103">_xlfn.XLOOKUP(D103&amp;F103,Reunido!B:B&amp;Reunido!D:D,Reunido!AD:AD,"",1)</f>
        <v>73837</v>
      </c>
      <c r="H103" s="41" cm="1">
        <f t="array" ref="H103">_xlfn.XLOOKUP(D103&amp;F103,Reunido!B:B&amp;Reunido!D:D,Reunido!AH:AH,"",1)</f>
        <v>133237.06177850763</v>
      </c>
      <c r="I103" s="42">
        <v>46174</v>
      </c>
      <c r="J103" s="39" t="str">
        <f t="shared" si="3"/>
        <v xml:space="preserve">Decorative Papers </v>
      </c>
    </row>
    <row r="104" spans="1:10" s="39" customFormat="1" x14ac:dyDescent="0.2">
      <c r="A104" s="39" t="str">
        <f t="shared" si="2"/>
        <v>Curitiba</v>
      </c>
      <c r="B104" s="39" t="str">
        <f>_xlfn.XLOOKUP(D104,Reunido!B:B,Reunido!A:A,"",0)</f>
        <v>MUNK07 / MUNKSJO TOLOSA S.A.U.  / ESP</v>
      </c>
      <c r="C104" s="39" t="str">
        <f>IF(D104&lt;&gt;0,IF(_xlfn.XLOOKUP(D104,Reunido!B:B,Reunido!BQ:BQ,"",0)="Print",$O$2,IF(_xlfn.XLOOKUP(D104,Reunido!B:B,Reunido!BQ:BQ,"",0)="IP",$O$3,IF(_xlfn.XLOOKUP(D104,Reunido!B:B,Reunido!BQ:BQ,"",0)="FF",$O$4,""))),"")</f>
        <v xml:space="preserve">Decorative Papers </v>
      </c>
      <c r="D104" s="39" t="s">
        <v>158</v>
      </c>
      <c r="E104" s="39" t="s">
        <v>159</v>
      </c>
      <c r="F104" s="86">
        <v>1870</v>
      </c>
      <c r="G104" s="41" cm="1">
        <f t="array" ref="G104">_xlfn.XLOOKUP(D104&amp;F104,Reunido!B:B&amp;Reunido!D:D,Reunido!AD:AD,"",1)</f>
        <v>25088</v>
      </c>
      <c r="H104" s="41" cm="1">
        <f t="array" ref="H104">_xlfn.XLOOKUP(D104&amp;F104,Reunido!B:B&amp;Reunido!D:D,Reunido!AH:AH,"",1)</f>
        <v>46233.257746018542</v>
      </c>
      <c r="I104" s="42">
        <v>46174</v>
      </c>
      <c r="J104" s="39" t="str">
        <f t="shared" si="3"/>
        <v xml:space="preserve">Decorative Papers </v>
      </c>
    </row>
    <row r="105" spans="1:10" s="39" customFormat="1" x14ac:dyDescent="0.2">
      <c r="A105" s="39" t="str">
        <f t="shared" si="2"/>
        <v>Curitiba</v>
      </c>
      <c r="B105" s="39" t="str">
        <f>_xlfn.XLOOKUP(D105,Reunido!B:B,Reunido!A:A,"",0)</f>
        <v>MUNK09 / MUNKSJO CAIEIRAS LTDA / BRA</v>
      </c>
      <c r="C105" s="39" t="str">
        <f>IF(D105&lt;&gt;0,IF(_xlfn.XLOOKUP(D105,Reunido!B:B,Reunido!BQ:BQ,"",0)="Print",$O$2,IF(_xlfn.XLOOKUP(D105,Reunido!B:B,Reunido!BQ:BQ,"",0)="IP",$O$3,IF(_xlfn.XLOOKUP(D105,Reunido!B:B,Reunido!BQ:BQ,"",0)="FF",$O$4,""))),"")</f>
        <v xml:space="preserve">Decorative Papers </v>
      </c>
      <c r="D105" s="39" t="s">
        <v>162</v>
      </c>
      <c r="E105" s="39" t="s">
        <v>163</v>
      </c>
      <c r="F105" s="86">
        <v>1870</v>
      </c>
      <c r="G105" s="41" cm="1">
        <f t="array" ref="G105">_xlfn.XLOOKUP(D105&amp;F105,Reunido!B:B&amp;Reunido!D:D,Reunido!AD:AD,"",1)</f>
        <v>51105</v>
      </c>
      <c r="H105" s="41" cm="1">
        <f t="array" ref="H105">_xlfn.XLOOKUP(D105&amp;F105,Reunido!B:B&amp;Reunido!D:D,Reunido!AH:AH,"",1)</f>
        <v>159563.38004414187</v>
      </c>
      <c r="I105" s="42">
        <v>46174</v>
      </c>
      <c r="J105" s="39" t="str">
        <f t="shared" si="3"/>
        <v xml:space="preserve">Decorative Papers </v>
      </c>
    </row>
    <row r="106" spans="1:10" s="39" customFormat="1" x14ac:dyDescent="0.2">
      <c r="A106" s="39" t="str">
        <f t="shared" si="2"/>
        <v>Curitiba</v>
      </c>
      <c r="B106" s="39" t="str">
        <f>_xlfn.XLOOKUP(D106,Reunido!B:B,Reunido!A:A,"",0)</f>
        <v>MUNK09 / MUNKSJO CAIEIRAS LTDA / BRA</v>
      </c>
      <c r="C106" s="39" t="str">
        <f>IF(D106&lt;&gt;0,IF(_xlfn.XLOOKUP(D106,Reunido!B:B,Reunido!BQ:BQ,"",0)="Print",$O$2,IF(_xlfn.XLOOKUP(D106,Reunido!B:B,Reunido!BQ:BQ,"",0)="IP",$O$3,IF(_xlfn.XLOOKUP(D106,Reunido!B:B,Reunido!BQ:BQ,"",0)="FF",$O$4,""))),"")</f>
        <v xml:space="preserve">Decorative Papers </v>
      </c>
      <c r="D106" s="39" t="s">
        <v>164</v>
      </c>
      <c r="E106" s="39" t="s">
        <v>165</v>
      </c>
      <c r="F106" s="86">
        <v>1270</v>
      </c>
      <c r="G106" s="41" cm="1">
        <f t="array" ref="G106">_xlfn.XLOOKUP(D106&amp;F106,Reunido!B:B&amp;Reunido!D:D,Reunido!AD:AD,"",1)</f>
        <v>10704</v>
      </c>
      <c r="H106" s="41" cm="1">
        <f t="array" ref="H106">_xlfn.XLOOKUP(D106&amp;F106,Reunido!B:B&amp;Reunido!D:D,Reunido!AH:AH,"",1)</f>
        <v>44444.358751921616</v>
      </c>
      <c r="I106" s="42">
        <v>46174</v>
      </c>
      <c r="J106" s="39" t="str">
        <f t="shared" si="3"/>
        <v xml:space="preserve">Decorative Papers </v>
      </c>
    </row>
    <row r="107" spans="1:10" s="39" customFormat="1" x14ac:dyDescent="0.2">
      <c r="A107" s="39" t="str">
        <f t="shared" si="2"/>
        <v>Curitiba</v>
      </c>
      <c r="B107" s="39" t="str">
        <f>_xlfn.XLOOKUP(D107,Reunido!B:B,Reunido!A:A,"",0)</f>
        <v>MUNK09 / MUNKSJO CAIEIRAS LTDA / BRA</v>
      </c>
      <c r="C107" s="39" t="str">
        <f>IF(D107&lt;&gt;0,IF(_xlfn.XLOOKUP(D107,Reunido!B:B,Reunido!BQ:BQ,"",0)="Print",$O$2,IF(_xlfn.XLOOKUP(D107,Reunido!B:B,Reunido!BQ:BQ,"",0)="IP",$O$3,IF(_xlfn.XLOOKUP(D107,Reunido!B:B,Reunido!BQ:BQ,"",0)="FF",$O$4,""))),"")</f>
        <v>Impregnated Papers</v>
      </c>
      <c r="D107" s="39" t="s">
        <v>160</v>
      </c>
      <c r="E107" s="39" t="s">
        <v>161</v>
      </c>
      <c r="F107" s="86">
        <v>1855</v>
      </c>
      <c r="G107" s="41" cm="1">
        <f t="array" ref="G107">_xlfn.XLOOKUP(D107&amp;F107,Reunido!B:B&amp;Reunido!D:D,Reunido!AD:AD,"",1)</f>
        <v>10624</v>
      </c>
      <c r="H107" s="41" cm="1">
        <f t="array" ref="H107">_xlfn.XLOOKUP(D107&amp;F107,Reunido!B:B&amp;Reunido!D:D,Reunido!AH:AH,"",1)</f>
        <v>43647.677707525501</v>
      </c>
      <c r="I107" s="42">
        <v>46174</v>
      </c>
      <c r="J107" s="39" t="str">
        <f t="shared" si="3"/>
        <v>Impregnated Papers</v>
      </c>
    </row>
    <row r="108" spans="1:10" s="39" customFormat="1" x14ac:dyDescent="0.2">
      <c r="A108" s="39" t="str">
        <f t="shared" si="2"/>
        <v>Curitiba</v>
      </c>
      <c r="B108" s="39" t="str">
        <f>_xlfn.XLOOKUP(D108,Reunido!B:B,Reunido!A:A,"",0)</f>
        <v>MUNK09 / MUNKSJO CAIEIRAS LTDA / BRA</v>
      </c>
      <c r="C108" s="39" t="str">
        <f>IF(D108&lt;&gt;0,IF(_xlfn.XLOOKUP(D108,Reunido!B:B,Reunido!BQ:BQ,"",0)="Print",$O$2,IF(_xlfn.XLOOKUP(D108,Reunido!B:B,Reunido!BQ:BQ,"",0)="IP",$O$3,IF(_xlfn.XLOOKUP(D108,Reunido!B:B,Reunido!BQ:BQ,"",0)="FF",$O$4,""))),"")</f>
        <v>Impregnated Papers</v>
      </c>
      <c r="D108" s="39" t="s">
        <v>213</v>
      </c>
      <c r="E108" s="39" t="s">
        <v>214</v>
      </c>
      <c r="F108" s="86">
        <v>1855</v>
      </c>
      <c r="G108" s="41" cm="1">
        <f t="array" ref="G108">_xlfn.XLOOKUP(D108&amp;F108,Reunido!B:B&amp;Reunido!D:D,Reunido!AD:AD,"",1)</f>
        <v>5587</v>
      </c>
      <c r="H108" s="41" cm="1">
        <f t="array" ref="H108">_xlfn.XLOOKUP(D108&amp;F108,Reunido!B:B&amp;Reunido!D:D,Reunido!AH:AH,"",1)</f>
        <v>30067.940945056624</v>
      </c>
      <c r="I108" s="42">
        <v>46174</v>
      </c>
      <c r="J108" s="39" t="str">
        <f t="shared" si="3"/>
        <v>Impregnated Papers</v>
      </c>
    </row>
    <row r="109" spans="1:10" s="39" customFormat="1" x14ac:dyDescent="0.2">
      <c r="A109" s="39" t="str">
        <f t="shared" si="2"/>
        <v>Curitiba</v>
      </c>
      <c r="B109" s="39" t="str">
        <f>_xlfn.XLOOKUP(D109,Reunido!B:B,Reunido!A:A,"",0)</f>
        <v>SUNS01 / CENTURY SUNSHINE (SHOUGUANG) SPECIALTY PAPER CO., LTD.</v>
      </c>
      <c r="C109" s="39" t="str">
        <f>IF(D109&lt;&gt;0,IF(_xlfn.XLOOKUP(D109,Reunido!B:B,Reunido!BQ:BQ,"",0)="Print",$O$2,IF(_xlfn.XLOOKUP(D109,Reunido!B:B,Reunido!BQ:BQ,"",0)="IP",$O$3,IF(_xlfn.XLOOKUP(D109,Reunido!B:B,Reunido!BQ:BQ,"",0)="FF",$O$4,""))),"")</f>
        <v xml:space="preserve">Decorative Papers </v>
      </c>
      <c r="D109" s="39" t="s">
        <v>130</v>
      </c>
      <c r="E109" s="39" t="s">
        <v>131</v>
      </c>
      <c r="F109" s="86">
        <v>1870</v>
      </c>
      <c r="G109" s="41" cm="1">
        <f t="array" ref="G109">_xlfn.XLOOKUP(D109&amp;F109,Reunido!B:B&amp;Reunido!D:D,Reunido!AD:AD,"",1)</f>
        <v>101726</v>
      </c>
      <c r="H109" s="41" cm="1">
        <f t="array" ref="H109">_xlfn.XLOOKUP(D109&amp;F109,Reunido!B:B&amp;Reunido!D:D,Reunido!AH:AH,"",1)</f>
        <v>195969.05433813352</v>
      </c>
      <c r="I109" s="42">
        <v>46174</v>
      </c>
      <c r="J109" s="39" t="str">
        <f t="shared" si="3"/>
        <v xml:space="preserve">Decorative Papers </v>
      </c>
    </row>
    <row r="110" spans="1:10" s="39" customFormat="1" x14ac:dyDescent="0.2">
      <c r="A110" s="39" t="str">
        <f t="shared" si="2"/>
        <v>Curitiba</v>
      </c>
      <c r="B110" s="39" t="str">
        <f>_xlfn.XLOOKUP(D110,Reunido!B:B,Reunido!A:A,"",0)</f>
        <v>SUNS01 / CENTURY SUNSHINE (SHOUGUANG) SPECIALTY PAPER CO., LTD.</v>
      </c>
      <c r="C110" s="39" t="str">
        <f>IF(D110&lt;&gt;0,IF(_xlfn.XLOOKUP(D110,Reunido!B:B,Reunido!BQ:BQ,"",0)="Print",$O$2,IF(_xlfn.XLOOKUP(D110,Reunido!B:B,Reunido!BQ:BQ,"",0)="IP",$O$3,IF(_xlfn.XLOOKUP(D110,Reunido!B:B,Reunido!BQ:BQ,"",0)="FF",$O$4,""))),"")</f>
        <v>Impregnated Papers</v>
      </c>
      <c r="D110" s="39" t="s">
        <v>128</v>
      </c>
      <c r="E110" s="39" t="s">
        <v>129</v>
      </c>
      <c r="F110" s="86">
        <v>1855</v>
      </c>
      <c r="G110" s="41" cm="1">
        <f t="array" ref="G110">_xlfn.XLOOKUP(D110&amp;F110,Reunido!B:B&amp;Reunido!D:D,Reunido!AD:AD,"",1)</f>
        <v>73426</v>
      </c>
      <c r="H110" s="41" cm="1">
        <f t="array" ref="H110">_xlfn.XLOOKUP(D110&amp;F110,Reunido!B:B&amp;Reunido!D:D,Reunido!AH:AH,"",1)</f>
        <v>139408.0657851733</v>
      </c>
      <c r="I110" s="42">
        <v>46174</v>
      </c>
      <c r="J110" s="39" t="str">
        <f t="shared" si="3"/>
        <v>Impregnated Papers</v>
      </c>
    </row>
    <row r="111" spans="1:10" s="39" customFormat="1" x14ac:dyDescent="0.2">
      <c r="A111" s="39" t="str">
        <f t="shared" si="2"/>
        <v>Curitiba</v>
      </c>
      <c r="B111" s="39" t="str">
        <f>_xlfn.XLOOKUP(D111,Reunido!B:B,Reunido!A:A,"",0)</f>
        <v>SUNS01 / CENTURY SUNSHINE (SHOUGUANG) SPECIALTY PAPER CO., LTD.</v>
      </c>
      <c r="C111" s="39" t="str">
        <f>IF(D111&lt;&gt;0,IF(_xlfn.XLOOKUP(D111,Reunido!B:B,Reunido!BQ:BQ,"",0)="Print",$O$2,IF(_xlfn.XLOOKUP(D111,Reunido!B:B,Reunido!BQ:BQ,"",0)="IP",$O$3,IF(_xlfn.XLOOKUP(D111,Reunido!B:B,Reunido!BQ:BQ,"",0)="FF",$O$4,""))),"")</f>
        <v xml:space="preserve">Decorative Papers </v>
      </c>
      <c r="D111" s="39" t="s">
        <v>219</v>
      </c>
      <c r="E111" s="39" t="s">
        <v>220</v>
      </c>
      <c r="F111" s="86">
        <v>1870</v>
      </c>
      <c r="G111" s="41" cm="1">
        <f t="array" ref="G111">_xlfn.XLOOKUP(D111&amp;F111,Reunido!B:B&amp;Reunido!D:D,Reunido!AD:AD,"",1)</f>
        <v>24824</v>
      </c>
      <c r="H111" s="41" cm="1">
        <f t="array" ref="H111">_xlfn.XLOOKUP(D111&amp;F111,Reunido!B:B&amp;Reunido!D:D,Reunido!AH:AH,"",1)</f>
        <v>52025.06074557067</v>
      </c>
      <c r="I111" s="42">
        <v>46174</v>
      </c>
      <c r="J111" s="39" t="str">
        <f t="shared" si="3"/>
        <v xml:space="preserve">Decorative Papers </v>
      </c>
    </row>
    <row r="112" spans="1:10" s="39" customFormat="1" x14ac:dyDescent="0.2">
      <c r="A112" s="39" t="str">
        <f t="shared" si="2"/>
        <v>Curitiba</v>
      </c>
      <c r="B112" s="39" t="str">
        <f>_xlfn.XLOOKUP(D112,Reunido!B:B,Reunido!A:A,"",0)</f>
        <v>SUNS01 / CENTURY SUNSHINE (SHOUGUANG) SPECIALTY PAPER CO., LTD.</v>
      </c>
      <c r="C112" s="39" t="str">
        <f>IF(D112&lt;&gt;0,IF(_xlfn.XLOOKUP(D112,Reunido!B:B,Reunido!BQ:BQ,"",0)="Print",$O$2,IF(_xlfn.XLOOKUP(D112,Reunido!B:B,Reunido!BQ:BQ,"",0)="IP",$O$3,IF(_xlfn.XLOOKUP(D112,Reunido!B:B,Reunido!BQ:BQ,"",0)="FF",$O$4,""))),"")</f>
        <v xml:space="preserve">Decorative Papers </v>
      </c>
      <c r="D112" s="39" t="s">
        <v>228</v>
      </c>
      <c r="E112" s="39" t="s">
        <v>229</v>
      </c>
      <c r="F112" s="86">
        <v>1870</v>
      </c>
      <c r="G112" s="41" cm="1">
        <f t="array" ref="G112">_xlfn.XLOOKUP(D112&amp;F112,Reunido!B:B&amp;Reunido!D:D,Reunido!AD:AD,"",1)</f>
        <v>103988</v>
      </c>
      <c r="H112" s="41" cm="1">
        <f t="array" ref="H112">_xlfn.XLOOKUP(D112&amp;F112,Reunido!B:B&amp;Reunido!D:D,Reunido!AH:AH,"",1)</f>
        <v>188189.2990150784</v>
      </c>
      <c r="I112" s="42">
        <v>46174</v>
      </c>
      <c r="J112" s="39" t="str">
        <f t="shared" si="3"/>
        <v xml:space="preserve">Decorative Papers </v>
      </c>
    </row>
    <row r="113" spans="1:10" s="39" customFormat="1" x14ac:dyDescent="0.2">
      <c r="A113" s="39" t="str">
        <f t="shared" si="2"/>
        <v>Curitiba</v>
      </c>
      <c r="B113" s="39" t="str">
        <f>_xlfn.XLOOKUP(D113,Reunido!B:B,Reunido!A:A,"",0)</f>
        <v>SUNS01 / CENTURY SUNSHINE (SHOUGUANG) SPECIALTY PAPER CO., LTD.</v>
      </c>
      <c r="C113" s="39" t="str">
        <f>IF(D113&lt;&gt;0,IF(_xlfn.XLOOKUP(D113,Reunido!B:B,Reunido!BQ:BQ,"",0)="Print",$O$2,IF(_xlfn.XLOOKUP(D113,Reunido!B:B,Reunido!BQ:BQ,"",0)="IP",$O$3,IF(_xlfn.XLOOKUP(D113,Reunido!B:B,Reunido!BQ:BQ,"",0)="FF",$O$4,""))),"")</f>
        <v xml:space="preserve">Decorative Papers </v>
      </c>
      <c r="D113" s="39" t="s">
        <v>230</v>
      </c>
      <c r="E113" s="39" t="s">
        <v>231</v>
      </c>
      <c r="F113" s="86">
        <v>1870</v>
      </c>
      <c r="G113" s="41" cm="1">
        <f t="array" ref="G113">_xlfn.XLOOKUP(D113&amp;F113,Reunido!B:B&amp;Reunido!D:D,Reunido!AD:AD,"",1)</f>
        <v>1947</v>
      </c>
      <c r="H113" s="41" cm="1">
        <f t="array" ref="H113">_xlfn.XLOOKUP(D113&amp;F113,Reunido!B:B&amp;Reunido!D:D,Reunido!AH:AH,"",1)</f>
        <v>1901.727909876249</v>
      </c>
      <c r="I113" s="42">
        <v>46174</v>
      </c>
      <c r="J113" s="39" t="str">
        <f t="shared" si="3"/>
        <v xml:space="preserve">Decorative Papers </v>
      </c>
    </row>
    <row r="114" spans="1:10" s="39" customFormat="1" x14ac:dyDescent="0.2">
      <c r="A114" s="39" t="str">
        <f t="shared" si="2"/>
        <v>Curitiba</v>
      </c>
      <c r="B114" s="39" t="str">
        <f>_xlfn.XLOOKUP(D114,Reunido!B:B,Reunido!A:A,"",0)</f>
        <v>TECH01 / Felix Schoeller GmbH &amp; Co. / DEU</v>
      </c>
      <c r="C114" s="39" t="str">
        <f>IF(D114&lt;&gt;0,IF(_xlfn.XLOOKUP(D114,Reunido!B:B,Reunido!BQ:BQ,"",0)="Print",$O$2,IF(_xlfn.XLOOKUP(D114,Reunido!B:B,Reunido!BQ:BQ,"",0)="IP",$O$3,IF(_xlfn.XLOOKUP(D114,Reunido!B:B,Reunido!BQ:BQ,"",0)="FF",$O$4,""))),"")</f>
        <v xml:space="preserve">Decorative Papers </v>
      </c>
      <c r="D114" s="39" t="s">
        <v>168</v>
      </c>
      <c r="E114" s="39" t="s">
        <v>169</v>
      </c>
      <c r="F114" s="86">
        <v>1870</v>
      </c>
      <c r="G114" s="41" cm="1">
        <f t="array" ref="G114">_xlfn.XLOOKUP(D114&amp;F114,Reunido!B:B&amp;Reunido!D:D,Reunido!AD:AD,"",1)</f>
        <v>23079</v>
      </c>
      <c r="H114" s="41" cm="1">
        <f t="array" ref="H114">_xlfn.XLOOKUP(D114&amp;F114,Reunido!B:B&amp;Reunido!D:D,Reunido!AH:AH,"",1)</f>
        <v>61685.603037480272</v>
      </c>
      <c r="I114" s="42">
        <v>46174</v>
      </c>
      <c r="J114" s="39" t="str">
        <f t="shared" si="3"/>
        <v xml:space="preserve">Decorative Papers </v>
      </c>
    </row>
    <row r="115" spans="1:10" s="39" customFormat="1" x14ac:dyDescent="0.2">
      <c r="A115" s="39" t="str">
        <f t="shared" si="2"/>
        <v>Curitiba</v>
      </c>
      <c r="B115" s="39" t="str">
        <f>_xlfn.XLOOKUP(D115,Reunido!B:B,Reunido!A:A,"",0)</f>
        <v>ULTR02 / ULTRA DECOR RUS, LLC</v>
      </c>
      <c r="C115" s="39" t="str">
        <f>IF(D115&lt;&gt;0,IF(_xlfn.XLOOKUP(D115,Reunido!B:B,Reunido!BQ:BQ,"",0)="Print",$O$2,IF(_xlfn.XLOOKUP(D115,Reunido!B:B,Reunido!BQ:BQ,"",0)="IP",$O$3,IF(_xlfn.XLOOKUP(D115,Reunido!B:B,Reunido!BQ:BQ,"",0)="FF",$O$4,""))),"")</f>
        <v xml:space="preserve">Decorative Papers </v>
      </c>
      <c r="D115" s="39" t="s">
        <v>236</v>
      </c>
      <c r="E115" s="39" t="s">
        <v>237</v>
      </c>
      <c r="F115" s="86">
        <v>1870</v>
      </c>
      <c r="G115" s="41" cm="1">
        <f t="array" ref="G115">_xlfn.XLOOKUP(D115&amp;F115,Reunido!B:B&amp;Reunido!D:D,Reunido!AD:AD,"",1)</f>
        <v>22058</v>
      </c>
      <c r="H115" s="41" cm="1">
        <f t="array" ref="H115">_xlfn.XLOOKUP(D115&amp;F115,Reunido!B:B&amp;Reunido!D:D,Reunido!AH:AH,"",1)</f>
        <v>55931.111415970976</v>
      </c>
      <c r="I115" s="42">
        <v>46174</v>
      </c>
      <c r="J115" s="39" t="str">
        <f t="shared" si="3"/>
        <v xml:space="preserve">Decorative Papers </v>
      </c>
    </row>
    <row r="116" spans="1:10" s="39" customFormat="1" x14ac:dyDescent="0.2">
      <c r="A116" s="39" t="str">
        <f t="shared" si="2"/>
        <v>Curitiba</v>
      </c>
      <c r="B116" s="39" t="str">
        <f>_xlfn.XLOOKUP(D116,Reunido!B:B,Reunido!A:A,"",0)</f>
        <v>ULTR02 / ULTRA DECOR RUS, LLC</v>
      </c>
      <c r="C116" s="39" t="str">
        <f>IF(D116&lt;&gt;0,IF(_xlfn.XLOOKUP(D116,Reunido!B:B,Reunido!BQ:BQ,"",0)="Print",$O$2,IF(_xlfn.XLOOKUP(D116,Reunido!B:B,Reunido!BQ:BQ,"",0)="IP",$O$3,IF(_xlfn.XLOOKUP(D116,Reunido!B:B,Reunido!BQ:BQ,"",0)="FF",$O$4,""))),"")</f>
        <v xml:space="preserve">Decorative Papers </v>
      </c>
      <c r="D116" s="39" t="s">
        <v>238</v>
      </c>
      <c r="E116" s="39" t="s">
        <v>239</v>
      </c>
      <c r="F116" s="86">
        <v>1830</v>
      </c>
      <c r="G116" s="41" cm="1">
        <f t="array" ref="G116">_xlfn.XLOOKUP(D116&amp;F116,Reunido!B:B&amp;Reunido!D:D,Reunido!AD:AD,"",1)</f>
        <v>2735</v>
      </c>
      <c r="H116" s="41" cm="1">
        <f t="array" ref="H116">_xlfn.XLOOKUP(D116&amp;F116,Reunido!B:B&amp;Reunido!D:D,Reunido!AH:AH,"",1)</f>
        <v>6274.4970282887525</v>
      </c>
      <c r="I116" s="42">
        <v>46174</v>
      </c>
      <c r="J116" s="39" t="str">
        <f t="shared" si="3"/>
        <v xml:space="preserve">Decorative Papers </v>
      </c>
    </row>
    <row r="117" spans="1:10" s="39" customFormat="1" x14ac:dyDescent="0.2">
      <c r="A117" s="39" t="str">
        <f t="shared" si="2"/>
        <v/>
      </c>
      <c r="F117" s="86"/>
      <c r="G117" s="41"/>
      <c r="H117" s="41"/>
      <c r="I117" s="42"/>
    </row>
    <row r="118" spans="1:10" s="39" customFormat="1" x14ac:dyDescent="0.2">
      <c r="A118" s="39" t="str">
        <f t="shared" si="2"/>
        <v/>
      </c>
      <c r="F118" s="86"/>
      <c r="G118" s="41"/>
      <c r="H118" s="41"/>
      <c r="I118" s="42"/>
    </row>
    <row r="119" spans="1:10" s="39" customFormat="1" x14ac:dyDescent="0.2">
      <c r="A119" s="39" t="str">
        <f t="shared" si="2"/>
        <v/>
      </c>
      <c r="F119" s="86"/>
      <c r="G119" s="41"/>
      <c r="H119" s="41"/>
      <c r="I119" s="42"/>
    </row>
    <row r="120" spans="1:10" s="39" customFormat="1" x14ac:dyDescent="0.2">
      <c r="A120" s="39" t="str">
        <f t="shared" si="2"/>
        <v/>
      </c>
      <c r="F120" s="86"/>
      <c r="G120" s="41"/>
      <c r="H120" s="41"/>
      <c r="I120" s="42"/>
    </row>
    <row r="121" spans="1:10" s="39" customFormat="1" x14ac:dyDescent="0.2">
      <c r="A121" s="39" t="str">
        <f t="shared" si="2"/>
        <v/>
      </c>
      <c r="F121" s="86"/>
      <c r="G121" s="41"/>
      <c r="H121" s="41"/>
      <c r="I121" s="42"/>
    </row>
    <row r="122" spans="1:10" s="39" customFormat="1" x14ac:dyDescent="0.2">
      <c r="A122" s="39" t="str">
        <f t="shared" si="2"/>
        <v/>
      </c>
      <c r="F122" s="86"/>
      <c r="G122" s="41"/>
      <c r="H122" s="41"/>
      <c r="I122" s="42"/>
    </row>
    <row r="123" spans="1:10" s="39" customFormat="1" x14ac:dyDescent="0.2">
      <c r="A123" s="39" t="str">
        <f t="shared" si="2"/>
        <v/>
      </c>
      <c r="F123" s="86"/>
      <c r="G123" s="41"/>
      <c r="H123" s="41"/>
      <c r="I123" s="42"/>
    </row>
    <row r="124" spans="1:10" s="39" customFormat="1" x14ac:dyDescent="0.2">
      <c r="A124" s="39" t="str">
        <f t="shared" si="2"/>
        <v/>
      </c>
      <c r="F124" s="86"/>
      <c r="G124" s="41"/>
      <c r="H124" s="41"/>
      <c r="I124" s="42"/>
    </row>
    <row r="125" spans="1:10" s="39" customFormat="1" x14ac:dyDescent="0.2">
      <c r="A125" s="39" t="str">
        <f t="shared" si="2"/>
        <v/>
      </c>
      <c r="F125" s="86"/>
      <c r="G125" s="41"/>
      <c r="H125" s="41"/>
      <c r="I125" s="42"/>
    </row>
    <row r="126" spans="1:10" s="39" customFormat="1" x14ac:dyDescent="0.2">
      <c r="A126" s="39" t="str">
        <f t="shared" si="2"/>
        <v/>
      </c>
      <c r="F126" s="86"/>
      <c r="G126" s="41"/>
      <c r="H126" s="41"/>
      <c r="I126" s="42"/>
    </row>
    <row r="127" spans="1:10" s="39" customFormat="1" x14ac:dyDescent="0.2">
      <c r="A127" s="39" t="str">
        <f t="shared" si="2"/>
        <v/>
      </c>
      <c r="F127" s="86"/>
      <c r="G127" s="41"/>
      <c r="H127" s="41"/>
      <c r="I127" s="42"/>
    </row>
    <row r="128" spans="1:10" s="39" customFormat="1" x14ac:dyDescent="0.2">
      <c r="A128" s="39" t="str">
        <f t="shared" si="2"/>
        <v/>
      </c>
      <c r="F128" s="86"/>
      <c r="G128" s="41"/>
      <c r="H128" s="41"/>
      <c r="I128" s="42"/>
    </row>
    <row r="129" spans="1:9" s="39" customFormat="1" x14ac:dyDescent="0.2">
      <c r="A129" s="39" t="str">
        <f t="shared" si="2"/>
        <v/>
      </c>
      <c r="F129" s="86"/>
      <c r="G129" s="41"/>
      <c r="H129" s="41"/>
      <c r="I129" s="42"/>
    </row>
    <row r="130" spans="1:9" s="39" customFormat="1" x14ac:dyDescent="0.2">
      <c r="A130" s="39" t="str">
        <f t="shared" ref="A130:A193" si="4">IF(B130&lt;&gt;"","Curitiba","")</f>
        <v/>
      </c>
      <c r="F130" s="86"/>
      <c r="G130" s="41"/>
      <c r="H130" s="41"/>
      <c r="I130" s="42"/>
    </row>
    <row r="131" spans="1:9" s="39" customFormat="1" x14ac:dyDescent="0.2">
      <c r="A131" s="39" t="str">
        <f t="shared" si="4"/>
        <v/>
      </c>
      <c r="F131" s="86"/>
      <c r="G131" s="41"/>
      <c r="H131" s="41"/>
      <c r="I131" s="42"/>
    </row>
    <row r="132" spans="1:9" s="39" customFormat="1" x14ac:dyDescent="0.2">
      <c r="A132" s="39" t="str">
        <f t="shared" si="4"/>
        <v/>
      </c>
      <c r="F132" s="86"/>
      <c r="G132" s="41"/>
      <c r="H132" s="41"/>
      <c r="I132" s="42"/>
    </row>
    <row r="133" spans="1:9" s="39" customFormat="1" x14ac:dyDescent="0.2">
      <c r="A133" s="39" t="str">
        <f t="shared" si="4"/>
        <v/>
      </c>
      <c r="F133" s="86"/>
      <c r="G133" s="41"/>
      <c r="H133" s="41"/>
      <c r="I133" s="42"/>
    </row>
    <row r="134" spans="1:9" s="39" customFormat="1" x14ac:dyDescent="0.2">
      <c r="A134" s="39" t="str">
        <f t="shared" si="4"/>
        <v/>
      </c>
      <c r="F134" s="86"/>
      <c r="G134" s="41"/>
      <c r="H134" s="41"/>
      <c r="I134" s="42"/>
    </row>
    <row r="135" spans="1:9" s="39" customFormat="1" x14ac:dyDescent="0.2">
      <c r="A135" s="39" t="str">
        <f t="shared" si="4"/>
        <v/>
      </c>
      <c r="F135" s="86"/>
      <c r="G135" s="41"/>
      <c r="H135" s="41"/>
      <c r="I135" s="42"/>
    </row>
    <row r="136" spans="1:9" s="39" customFormat="1" x14ac:dyDescent="0.2">
      <c r="A136" s="39" t="str">
        <f t="shared" si="4"/>
        <v/>
      </c>
      <c r="F136" s="86"/>
      <c r="G136" s="41"/>
      <c r="H136" s="41"/>
      <c r="I136" s="42"/>
    </row>
    <row r="137" spans="1:9" s="39" customFormat="1" x14ac:dyDescent="0.2">
      <c r="A137" s="39" t="str">
        <f t="shared" si="4"/>
        <v/>
      </c>
      <c r="F137" s="86"/>
      <c r="G137" s="41"/>
      <c r="H137" s="41"/>
      <c r="I137" s="42"/>
    </row>
    <row r="138" spans="1:9" s="39" customFormat="1" x14ac:dyDescent="0.2">
      <c r="A138" s="39" t="str">
        <f t="shared" si="4"/>
        <v/>
      </c>
      <c r="F138" s="86"/>
      <c r="G138" s="41"/>
      <c r="H138" s="41"/>
      <c r="I138" s="42"/>
    </row>
    <row r="139" spans="1:9" s="39" customFormat="1" x14ac:dyDescent="0.2">
      <c r="A139" s="39" t="str">
        <f t="shared" si="4"/>
        <v/>
      </c>
      <c r="F139" s="86"/>
      <c r="G139" s="41"/>
      <c r="H139" s="41"/>
      <c r="I139" s="42"/>
    </row>
    <row r="140" spans="1:9" s="39" customFormat="1" x14ac:dyDescent="0.2">
      <c r="A140" s="39" t="str">
        <f t="shared" si="4"/>
        <v/>
      </c>
      <c r="F140" s="86"/>
      <c r="G140" s="41"/>
      <c r="H140" s="41"/>
      <c r="I140" s="42"/>
    </row>
    <row r="141" spans="1:9" s="39" customFormat="1" x14ac:dyDescent="0.2">
      <c r="A141" s="39" t="str">
        <f t="shared" si="4"/>
        <v/>
      </c>
      <c r="F141" s="86"/>
      <c r="G141" s="41"/>
      <c r="H141" s="41"/>
      <c r="I141" s="42"/>
    </row>
    <row r="142" spans="1:9" s="39" customFormat="1" x14ac:dyDescent="0.2">
      <c r="A142" s="39" t="str">
        <f t="shared" si="4"/>
        <v/>
      </c>
      <c r="F142" s="86"/>
      <c r="G142" s="41"/>
      <c r="H142" s="41"/>
      <c r="I142" s="42"/>
    </row>
    <row r="143" spans="1:9" s="39" customFormat="1" x14ac:dyDescent="0.2">
      <c r="A143" s="39" t="str">
        <f t="shared" si="4"/>
        <v/>
      </c>
      <c r="F143" s="86"/>
      <c r="G143" s="41"/>
      <c r="H143" s="41"/>
      <c r="I143" s="42"/>
    </row>
    <row r="144" spans="1:9" s="39" customFormat="1" x14ac:dyDescent="0.2">
      <c r="A144" s="39" t="str">
        <f t="shared" si="4"/>
        <v/>
      </c>
      <c r="F144" s="86"/>
      <c r="G144" s="41"/>
      <c r="H144" s="41"/>
      <c r="I144" s="42"/>
    </row>
    <row r="145" spans="1:10" s="39" customFormat="1" x14ac:dyDescent="0.2">
      <c r="A145" s="39" t="str">
        <f t="shared" si="4"/>
        <v/>
      </c>
      <c r="F145" s="86"/>
      <c r="G145" s="41"/>
      <c r="H145" s="41"/>
      <c r="I145" s="42"/>
    </row>
    <row r="146" spans="1:10" s="39" customFormat="1" x14ac:dyDescent="0.2">
      <c r="A146" s="39" t="str">
        <f t="shared" si="4"/>
        <v/>
      </c>
      <c r="F146" s="86"/>
      <c r="G146" s="41"/>
      <c r="H146" s="41"/>
      <c r="I146" s="42"/>
    </row>
    <row r="147" spans="1:10" s="39" customFormat="1" x14ac:dyDescent="0.2">
      <c r="A147" s="39" t="str">
        <f t="shared" si="4"/>
        <v/>
      </c>
      <c r="F147" s="86"/>
      <c r="G147" s="41"/>
      <c r="H147" s="41"/>
      <c r="I147" s="42"/>
    </row>
    <row r="148" spans="1:10" s="39" customFormat="1" x14ac:dyDescent="0.2">
      <c r="A148" s="39" t="str">
        <f t="shared" si="4"/>
        <v/>
      </c>
      <c r="F148" s="86"/>
      <c r="G148" s="41"/>
      <c r="H148" s="41"/>
      <c r="I148" s="42"/>
    </row>
    <row r="149" spans="1:10" s="39" customFormat="1" x14ac:dyDescent="0.2">
      <c r="A149" s="39" t="str">
        <f t="shared" si="4"/>
        <v/>
      </c>
      <c r="F149" s="86"/>
      <c r="G149" s="41"/>
      <c r="H149" s="41"/>
      <c r="I149" s="42"/>
    </row>
    <row r="150" spans="1:10" s="39" customFormat="1" x14ac:dyDescent="0.2">
      <c r="A150" s="39" t="str">
        <f t="shared" si="4"/>
        <v/>
      </c>
      <c r="F150" s="86"/>
      <c r="G150" s="41"/>
      <c r="H150" s="41"/>
      <c r="I150" s="42"/>
    </row>
    <row r="151" spans="1:10" s="39" customFormat="1" x14ac:dyDescent="0.2">
      <c r="A151" s="39" t="str">
        <f t="shared" si="4"/>
        <v/>
      </c>
      <c r="F151" s="86"/>
      <c r="G151" s="41"/>
      <c r="H151" s="41"/>
      <c r="I151" s="42"/>
    </row>
    <row r="152" spans="1:10" s="39" customFormat="1" x14ac:dyDescent="0.2">
      <c r="A152" s="39" t="str">
        <f t="shared" si="4"/>
        <v/>
      </c>
      <c r="F152" s="86"/>
      <c r="G152" s="41"/>
      <c r="H152" s="41"/>
      <c r="I152" s="42"/>
    </row>
    <row r="153" spans="1:10" s="39" customFormat="1" x14ac:dyDescent="0.2">
      <c r="A153" s="39" t="str">
        <f t="shared" si="4"/>
        <v/>
      </c>
      <c r="F153" s="86"/>
      <c r="G153" s="41"/>
      <c r="H153" s="41"/>
      <c r="I153" s="42"/>
    </row>
    <row r="154" spans="1:10" s="39" customFormat="1" x14ac:dyDescent="0.2">
      <c r="A154" s="39" t="str">
        <f t="shared" si="4"/>
        <v/>
      </c>
      <c r="F154" s="86"/>
      <c r="G154" s="41"/>
      <c r="H154" s="41"/>
      <c r="I154" s="42"/>
    </row>
    <row r="155" spans="1:10" s="39" customFormat="1" x14ac:dyDescent="0.2">
      <c r="A155" s="39" t="str">
        <f t="shared" si="4"/>
        <v/>
      </c>
      <c r="F155" s="86"/>
      <c r="G155" s="41"/>
      <c r="H155" s="41"/>
      <c r="I155" s="42"/>
    </row>
    <row r="156" spans="1:10" s="39" customFormat="1" x14ac:dyDescent="0.2">
      <c r="A156" s="39" t="str">
        <f t="shared" si="4"/>
        <v/>
      </c>
      <c r="F156" s="86"/>
      <c r="G156" s="41"/>
      <c r="H156" s="41"/>
      <c r="I156" s="42"/>
    </row>
    <row r="157" spans="1:10" x14ac:dyDescent="0.2">
      <c r="A157" s="39" t="str">
        <f t="shared" si="4"/>
        <v/>
      </c>
      <c r="B157" s="39"/>
      <c r="C157" s="39"/>
      <c r="D157" s="39"/>
      <c r="E157" s="39"/>
      <c r="F157" s="86"/>
      <c r="G157" s="41"/>
      <c r="H157" s="41"/>
      <c r="I157" s="42"/>
      <c r="J157" s="39"/>
    </row>
    <row r="158" spans="1:10" x14ac:dyDescent="0.2">
      <c r="A158" s="39" t="str">
        <f t="shared" si="4"/>
        <v/>
      </c>
      <c r="B158" s="39"/>
      <c r="C158" s="39"/>
      <c r="D158" s="39"/>
      <c r="E158" s="39"/>
      <c r="F158" s="86"/>
      <c r="G158" s="41"/>
      <c r="H158" s="41"/>
      <c r="I158" s="42"/>
      <c r="J158" s="39"/>
    </row>
    <row r="159" spans="1:10" x14ac:dyDescent="0.2">
      <c r="A159" s="39" t="str">
        <f t="shared" si="4"/>
        <v/>
      </c>
      <c r="B159" s="39"/>
      <c r="C159" s="39"/>
      <c r="D159" s="39"/>
      <c r="E159" s="39"/>
      <c r="F159" s="86"/>
      <c r="G159" s="41"/>
      <c r="H159" s="41"/>
      <c r="I159" s="42"/>
      <c r="J159" s="39"/>
    </row>
    <row r="160" spans="1:10" x14ac:dyDescent="0.2">
      <c r="A160" s="39" t="str">
        <f t="shared" si="4"/>
        <v/>
      </c>
      <c r="B160" s="39"/>
      <c r="C160" s="39"/>
      <c r="D160" s="39"/>
      <c r="E160" s="39"/>
      <c r="F160" s="86"/>
      <c r="G160" s="41"/>
      <c r="H160" s="41"/>
      <c r="I160" s="42"/>
      <c r="J160" s="39"/>
    </row>
    <row r="161" spans="1:10" x14ac:dyDescent="0.2">
      <c r="A161" s="39" t="str">
        <f t="shared" si="4"/>
        <v/>
      </c>
      <c r="B161" s="39"/>
      <c r="C161" s="39"/>
      <c r="D161" s="39"/>
      <c r="E161" s="39"/>
      <c r="F161" s="86"/>
      <c r="G161" s="41"/>
      <c r="H161" s="41"/>
      <c r="I161" s="42"/>
      <c r="J161" s="39"/>
    </row>
    <row r="162" spans="1:10" x14ac:dyDescent="0.2">
      <c r="A162" s="39" t="str">
        <f t="shared" si="4"/>
        <v/>
      </c>
      <c r="B162" s="39"/>
      <c r="C162" s="39"/>
      <c r="D162" s="39"/>
      <c r="E162" s="39"/>
      <c r="F162" s="86"/>
      <c r="G162" s="41"/>
      <c r="H162" s="41"/>
      <c r="I162" s="42"/>
      <c r="J162" s="39"/>
    </row>
    <row r="163" spans="1:10" x14ac:dyDescent="0.2">
      <c r="A163" s="39" t="str">
        <f t="shared" si="4"/>
        <v/>
      </c>
      <c r="B163" s="39"/>
      <c r="C163" s="39"/>
      <c r="D163" s="39"/>
      <c r="E163" s="39"/>
      <c r="F163" s="86"/>
      <c r="G163" s="41"/>
      <c r="H163" s="41"/>
      <c r="I163" s="42"/>
      <c r="J163" s="39"/>
    </row>
    <row r="164" spans="1:10" x14ac:dyDescent="0.2">
      <c r="A164" s="39" t="str">
        <f t="shared" si="4"/>
        <v/>
      </c>
      <c r="B164" s="39"/>
      <c r="C164" s="39"/>
      <c r="D164" s="39"/>
      <c r="E164" s="39"/>
      <c r="F164" s="86"/>
      <c r="G164" s="41"/>
      <c r="H164" s="41"/>
      <c r="I164" s="42"/>
      <c r="J164" s="39"/>
    </row>
    <row r="165" spans="1:10" x14ac:dyDescent="0.2">
      <c r="A165" s="39" t="str">
        <f t="shared" si="4"/>
        <v/>
      </c>
      <c r="B165" s="39"/>
      <c r="C165" s="39"/>
      <c r="D165" s="39"/>
      <c r="E165" s="39"/>
      <c r="F165" s="86"/>
      <c r="G165" s="41"/>
      <c r="H165" s="41"/>
      <c r="I165" s="42"/>
      <c r="J165" s="39"/>
    </row>
    <row r="166" spans="1:10" x14ac:dyDescent="0.2">
      <c r="A166" s="39" t="str">
        <f t="shared" si="4"/>
        <v/>
      </c>
      <c r="B166" s="39"/>
      <c r="C166" s="39"/>
      <c r="D166" s="39"/>
      <c r="E166" s="39"/>
      <c r="F166" s="86"/>
      <c r="G166" s="41"/>
      <c r="H166" s="41"/>
      <c r="I166" s="42"/>
      <c r="J166" s="39"/>
    </row>
    <row r="167" spans="1:10" x14ac:dyDescent="0.2">
      <c r="A167" s="39" t="str">
        <f t="shared" si="4"/>
        <v/>
      </c>
      <c r="B167" s="39"/>
      <c r="C167" s="39"/>
      <c r="D167" s="39"/>
      <c r="E167" s="39"/>
      <c r="F167" s="86"/>
      <c r="G167" s="41"/>
      <c r="H167" s="41"/>
      <c r="I167" s="42"/>
      <c r="J167" s="39"/>
    </row>
    <row r="168" spans="1:10" x14ac:dyDescent="0.2">
      <c r="A168" s="39" t="str">
        <f t="shared" si="4"/>
        <v/>
      </c>
      <c r="B168" s="39"/>
      <c r="C168" s="39"/>
      <c r="D168" s="39"/>
      <c r="E168" s="39"/>
      <c r="F168" s="86"/>
      <c r="G168" s="41"/>
      <c r="H168" s="41"/>
      <c r="I168" s="42"/>
      <c r="J168" s="39"/>
    </row>
    <row r="169" spans="1:10" x14ac:dyDescent="0.2">
      <c r="A169" s="39" t="str">
        <f t="shared" si="4"/>
        <v/>
      </c>
      <c r="B169" s="39"/>
      <c r="C169" s="39"/>
      <c r="D169" s="39"/>
      <c r="E169" s="39"/>
      <c r="F169" s="86"/>
      <c r="G169" s="41"/>
      <c r="H169" s="41"/>
      <c r="I169" s="42"/>
      <c r="J169" s="39"/>
    </row>
    <row r="170" spans="1:10" x14ac:dyDescent="0.2">
      <c r="A170" s="39" t="str">
        <f t="shared" si="4"/>
        <v/>
      </c>
      <c r="B170" s="39"/>
      <c r="C170" s="39"/>
      <c r="D170" s="39"/>
      <c r="E170" s="39"/>
      <c r="F170" s="86"/>
      <c r="G170" s="41"/>
      <c r="H170" s="41"/>
      <c r="I170" s="42"/>
      <c r="J170" s="39"/>
    </row>
    <row r="171" spans="1:10" x14ac:dyDescent="0.2">
      <c r="A171" s="39" t="str">
        <f t="shared" si="4"/>
        <v/>
      </c>
      <c r="B171" s="39"/>
      <c r="C171" s="39"/>
      <c r="D171" s="39"/>
      <c r="E171" s="39"/>
      <c r="F171" s="86"/>
      <c r="G171" s="41"/>
      <c r="H171" s="41"/>
      <c r="I171" s="42"/>
      <c r="J171" s="39"/>
    </row>
    <row r="172" spans="1:10" x14ac:dyDescent="0.2">
      <c r="A172" s="39" t="str">
        <f t="shared" si="4"/>
        <v/>
      </c>
      <c r="B172" s="39"/>
      <c r="C172" s="39"/>
      <c r="D172" s="39"/>
      <c r="E172" s="39"/>
      <c r="F172" s="86"/>
      <c r="G172" s="41"/>
      <c r="H172" s="41"/>
      <c r="I172" s="42"/>
      <c r="J172" s="39"/>
    </row>
    <row r="173" spans="1:10" x14ac:dyDescent="0.2">
      <c r="A173" s="39" t="str">
        <f t="shared" si="4"/>
        <v/>
      </c>
      <c r="B173" s="39"/>
      <c r="C173" s="39"/>
      <c r="D173" s="39"/>
      <c r="E173" s="39"/>
      <c r="F173" s="86"/>
      <c r="G173" s="41"/>
      <c r="H173" s="41"/>
      <c r="I173" s="42"/>
      <c r="J173" s="39"/>
    </row>
    <row r="174" spans="1:10" x14ac:dyDescent="0.2">
      <c r="A174" s="39" t="str">
        <f t="shared" si="4"/>
        <v/>
      </c>
      <c r="B174" s="39"/>
      <c r="C174" s="39"/>
      <c r="D174" s="39"/>
      <c r="E174" s="39"/>
      <c r="F174" s="86"/>
      <c r="G174" s="41"/>
      <c r="H174" s="41"/>
      <c r="I174" s="42"/>
      <c r="J174" s="39"/>
    </row>
    <row r="175" spans="1:10" x14ac:dyDescent="0.2">
      <c r="A175" s="39" t="str">
        <f t="shared" si="4"/>
        <v/>
      </c>
      <c r="B175" s="39"/>
      <c r="C175" s="39"/>
      <c r="D175" s="39"/>
      <c r="E175" s="39"/>
      <c r="F175" s="86"/>
      <c r="G175" s="41"/>
      <c r="H175" s="41"/>
      <c r="I175" s="42"/>
      <c r="J175" s="39"/>
    </row>
    <row r="176" spans="1:10" x14ac:dyDescent="0.2">
      <c r="A176" s="39" t="str">
        <f t="shared" si="4"/>
        <v/>
      </c>
      <c r="B176" s="39"/>
      <c r="C176" s="39"/>
      <c r="D176" s="39"/>
      <c r="E176" s="39"/>
      <c r="F176" s="86"/>
      <c r="G176" s="41"/>
      <c r="H176" s="41"/>
      <c r="I176" s="42"/>
      <c r="J176" s="39"/>
    </row>
    <row r="177" spans="1:10" x14ac:dyDescent="0.2">
      <c r="A177" s="39" t="str">
        <f t="shared" si="4"/>
        <v/>
      </c>
      <c r="B177" s="39"/>
      <c r="C177" s="39"/>
      <c r="D177" s="39"/>
      <c r="E177" s="39"/>
      <c r="F177" s="86"/>
      <c r="G177" s="41"/>
      <c r="H177" s="41"/>
      <c r="I177" s="42"/>
      <c r="J177" s="39"/>
    </row>
    <row r="178" spans="1:10" x14ac:dyDescent="0.2">
      <c r="A178" s="39" t="str">
        <f t="shared" si="4"/>
        <v/>
      </c>
      <c r="B178" s="39"/>
      <c r="C178" s="39"/>
      <c r="D178" s="39"/>
      <c r="E178" s="39"/>
      <c r="F178" s="86"/>
      <c r="G178" s="41"/>
      <c r="H178" s="41"/>
      <c r="I178" s="42"/>
      <c r="J178" s="39"/>
    </row>
    <row r="179" spans="1:10" x14ac:dyDescent="0.2">
      <c r="A179" s="39" t="str">
        <f t="shared" si="4"/>
        <v/>
      </c>
      <c r="B179" s="39"/>
      <c r="C179" s="39"/>
      <c r="D179" s="39"/>
      <c r="E179" s="39"/>
      <c r="F179" s="86"/>
      <c r="G179" s="41"/>
      <c r="H179" s="41"/>
      <c r="I179" s="42"/>
      <c r="J179" s="39"/>
    </row>
    <row r="180" spans="1:10" x14ac:dyDescent="0.2">
      <c r="A180" s="39" t="str">
        <f t="shared" si="4"/>
        <v/>
      </c>
      <c r="B180" s="39"/>
      <c r="C180" s="39"/>
      <c r="D180" s="39"/>
      <c r="E180" s="39"/>
      <c r="F180" s="86"/>
      <c r="G180" s="41"/>
      <c r="H180" s="41"/>
      <c r="I180" s="42"/>
      <c r="J180" s="39"/>
    </row>
    <row r="181" spans="1:10" x14ac:dyDescent="0.2">
      <c r="A181" s="39" t="str">
        <f t="shared" si="4"/>
        <v/>
      </c>
      <c r="B181" s="39"/>
      <c r="C181" s="39"/>
      <c r="D181" s="39"/>
      <c r="E181" s="39"/>
      <c r="F181" s="86"/>
      <c r="G181" s="41"/>
      <c r="H181" s="41"/>
      <c r="I181" s="42"/>
      <c r="J181" s="39"/>
    </row>
    <row r="182" spans="1:10" x14ac:dyDescent="0.2">
      <c r="A182" s="39" t="str">
        <f t="shared" si="4"/>
        <v/>
      </c>
      <c r="B182" s="39"/>
      <c r="C182" s="39"/>
      <c r="D182" s="39"/>
      <c r="E182" s="39"/>
      <c r="F182" s="86"/>
      <c r="G182" s="41"/>
      <c r="H182" s="41"/>
      <c r="I182" s="42"/>
      <c r="J182" s="39"/>
    </row>
    <row r="183" spans="1:10" x14ac:dyDescent="0.2">
      <c r="A183" s="39" t="str">
        <f t="shared" si="4"/>
        <v/>
      </c>
      <c r="B183" s="39"/>
      <c r="C183" s="39"/>
      <c r="D183" s="39"/>
      <c r="E183" s="39"/>
      <c r="F183" s="86"/>
      <c r="G183" s="41"/>
      <c r="H183" s="41"/>
      <c r="I183" s="42"/>
      <c r="J183" s="39"/>
    </row>
    <row r="184" spans="1:10" x14ac:dyDescent="0.2">
      <c r="A184" s="39" t="str">
        <f t="shared" si="4"/>
        <v/>
      </c>
      <c r="B184" s="39"/>
      <c r="C184" s="39"/>
      <c r="D184" s="39"/>
      <c r="E184" s="39"/>
      <c r="F184" s="86"/>
      <c r="G184" s="41"/>
      <c r="H184" s="41"/>
      <c r="I184" s="42"/>
      <c r="J184" s="39"/>
    </row>
    <row r="185" spans="1:10" x14ac:dyDescent="0.2">
      <c r="A185" s="39" t="str">
        <f t="shared" si="4"/>
        <v/>
      </c>
      <c r="B185" s="39"/>
      <c r="C185" s="39"/>
      <c r="D185" s="39"/>
      <c r="E185" s="39"/>
      <c r="F185" s="86"/>
      <c r="G185" s="41"/>
      <c r="H185" s="41"/>
      <c r="I185" s="42"/>
      <c r="J185" s="39"/>
    </row>
    <row r="186" spans="1:10" x14ac:dyDescent="0.2">
      <c r="A186" s="39" t="str">
        <f t="shared" si="4"/>
        <v/>
      </c>
      <c r="B186" s="39"/>
      <c r="C186" s="39"/>
      <c r="D186" s="39"/>
      <c r="E186" s="48"/>
      <c r="F186" s="87"/>
      <c r="G186" s="41"/>
      <c r="H186" s="41"/>
      <c r="I186" s="42"/>
      <c r="J186" s="39"/>
    </row>
    <row r="187" spans="1:10" x14ac:dyDescent="0.2">
      <c r="A187" s="39" t="str">
        <f t="shared" si="4"/>
        <v/>
      </c>
      <c r="B187" s="39"/>
      <c r="C187" s="39"/>
      <c r="D187" s="39"/>
      <c r="E187" s="48"/>
      <c r="F187" s="87"/>
      <c r="G187" s="41"/>
      <c r="H187" s="41"/>
      <c r="I187" s="42"/>
      <c r="J187" s="39"/>
    </row>
    <row r="188" spans="1:10" x14ac:dyDescent="0.2">
      <c r="A188" s="39" t="str">
        <f t="shared" si="4"/>
        <v/>
      </c>
      <c r="B188" s="39"/>
      <c r="C188" s="39"/>
      <c r="D188" s="39"/>
      <c r="E188" s="48"/>
      <c r="F188" s="87"/>
      <c r="G188" s="41"/>
      <c r="H188" s="41"/>
      <c r="I188" s="42"/>
      <c r="J188" s="39"/>
    </row>
    <row r="189" spans="1:10" x14ac:dyDescent="0.2">
      <c r="A189" s="39" t="str">
        <f t="shared" si="4"/>
        <v/>
      </c>
      <c r="B189" s="39"/>
      <c r="C189" s="39"/>
      <c r="D189" s="39"/>
      <c r="E189" s="48"/>
      <c r="F189" s="87"/>
      <c r="G189" s="41"/>
      <c r="H189" s="41"/>
      <c r="I189" s="42"/>
      <c r="J189" s="39"/>
    </row>
    <row r="190" spans="1:10" x14ac:dyDescent="0.2">
      <c r="A190" s="39" t="str">
        <f t="shared" si="4"/>
        <v/>
      </c>
      <c r="B190" s="39"/>
      <c r="C190" s="39"/>
      <c r="D190" s="39"/>
      <c r="E190" s="48"/>
      <c r="F190" s="87"/>
      <c r="G190" s="41"/>
      <c r="H190" s="41"/>
      <c r="I190" s="42"/>
      <c r="J190" s="39"/>
    </row>
    <row r="191" spans="1:10" x14ac:dyDescent="0.2">
      <c r="A191" s="39" t="str">
        <f t="shared" si="4"/>
        <v/>
      </c>
      <c r="B191" s="39"/>
      <c r="C191" s="39"/>
      <c r="D191" s="39"/>
      <c r="E191" s="48"/>
      <c r="F191" s="87"/>
      <c r="G191" s="41"/>
      <c r="H191" s="41"/>
      <c r="I191" s="42"/>
      <c r="J191" s="39"/>
    </row>
    <row r="192" spans="1:10" x14ac:dyDescent="0.2">
      <c r="A192" s="39" t="str">
        <f t="shared" si="4"/>
        <v/>
      </c>
      <c r="B192" s="39"/>
      <c r="C192" s="39"/>
      <c r="D192" s="39"/>
      <c r="E192" s="48"/>
      <c r="F192" s="87"/>
      <c r="G192" s="41"/>
      <c r="H192" s="41"/>
      <c r="I192" s="42"/>
      <c r="J192" s="39"/>
    </row>
    <row r="193" spans="1:10" x14ac:dyDescent="0.2">
      <c r="A193" s="39" t="str">
        <f t="shared" si="4"/>
        <v/>
      </c>
      <c r="B193" s="39"/>
      <c r="C193" s="39"/>
      <c r="D193" s="39"/>
      <c r="E193" s="48"/>
      <c r="F193" s="87"/>
      <c r="G193" s="41"/>
      <c r="H193" s="41"/>
      <c r="I193" s="42"/>
      <c r="J193" s="39"/>
    </row>
    <row r="194" spans="1:10" x14ac:dyDescent="0.2">
      <c r="A194" s="39" t="str">
        <f t="shared" ref="A194:A227" si="5">IF(B194&lt;&gt;"","Curitiba","")</f>
        <v/>
      </c>
      <c r="B194" s="39"/>
      <c r="C194" s="39"/>
      <c r="D194" s="39"/>
      <c r="E194" s="48"/>
      <c r="F194" s="87"/>
      <c r="G194" s="41"/>
      <c r="H194" s="41"/>
      <c r="I194" s="42"/>
      <c r="J194" s="39"/>
    </row>
    <row r="195" spans="1:10" x14ac:dyDescent="0.2">
      <c r="A195" s="39" t="str">
        <f t="shared" si="5"/>
        <v/>
      </c>
      <c r="B195" s="39"/>
      <c r="C195" s="39"/>
      <c r="D195" s="39"/>
      <c r="E195" s="48"/>
      <c r="F195" s="87"/>
      <c r="G195" s="41"/>
      <c r="H195" s="41"/>
      <c r="I195" s="42"/>
      <c r="J195" s="39"/>
    </row>
    <row r="196" spans="1:10" x14ac:dyDescent="0.2">
      <c r="A196" s="39" t="str">
        <f t="shared" si="5"/>
        <v/>
      </c>
      <c r="B196" s="39"/>
      <c r="C196" s="39"/>
      <c r="D196" s="39"/>
      <c r="E196" s="48"/>
      <c r="F196" s="87"/>
      <c r="G196" s="41"/>
      <c r="H196" s="41"/>
      <c r="I196" s="42"/>
      <c r="J196" s="39"/>
    </row>
    <row r="197" spans="1:10" x14ac:dyDescent="0.2">
      <c r="A197" s="39" t="str">
        <f t="shared" si="5"/>
        <v/>
      </c>
      <c r="B197" s="39"/>
      <c r="C197" s="39"/>
      <c r="D197" s="39"/>
      <c r="E197" s="48"/>
      <c r="F197" s="87"/>
      <c r="G197" s="41"/>
      <c r="H197" s="41"/>
      <c r="I197" s="42"/>
      <c r="J197" s="39"/>
    </row>
    <row r="198" spans="1:10" x14ac:dyDescent="0.2">
      <c r="A198" s="39" t="str">
        <f t="shared" si="5"/>
        <v/>
      </c>
      <c r="B198" s="39"/>
      <c r="C198" s="39"/>
      <c r="D198" s="39"/>
      <c r="E198" s="48"/>
      <c r="F198" s="87"/>
      <c r="G198" s="41"/>
      <c r="H198" s="41"/>
      <c r="I198" s="42"/>
      <c r="J198" s="39"/>
    </row>
    <row r="199" spans="1:10" x14ac:dyDescent="0.2">
      <c r="A199" s="39" t="str">
        <f t="shared" si="5"/>
        <v/>
      </c>
      <c r="B199" s="39"/>
      <c r="C199" s="39"/>
      <c r="D199" s="39"/>
      <c r="E199" s="48"/>
      <c r="F199" s="87"/>
      <c r="G199" s="41"/>
      <c r="H199" s="41"/>
      <c r="I199" s="42"/>
      <c r="J199" s="39"/>
    </row>
    <row r="200" spans="1:10" x14ac:dyDescent="0.2">
      <c r="A200" s="39" t="str">
        <f t="shared" si="5"/>
        <v/>
      </c>
      <c r="B200" s="39"/>
      <c r="C200" s="39"/>
      <c r="D200" s="39"/>
      <c r="E200" s="48"/>
      <c r="F200" s="87"/>
      <c r="G200" s="41"/>
      <c r="H200" s="41"/>
      <c r="I200" s="42"/>
      <c r="J200" s="39"/>
    </row>
    <row r="201" spans="1:10" x14ac:dyDescent="0.2">
      <c r="A201" s="39" t="str">
        <f t="shared" si="5"/>
        <v/>
      </c>
      <c r="B201" s="39"/>
      <c r="C201" s="39"/>
      <c r="D201" s="39"/>
      <c r="E201" s="48"/>
      <c r="F201" s="87"/>
      <c r="G201" s="41"/>
      <c r="H201" s="41"/>
      <c r="I201" s="42"/>
      <c r="J201" s="39"/>
    </row>
    <row r="202" spans="1:10" x14ac:dyDescent="0.2">
      <c r="A202" s="39" t="str">
        <f t="shared" si="5"/>
        <v/>
      </c>
      <c r="B202" s="39"/>
      <c r="C202" s="39"/>
      <c r="D202" s="39"/>
      <c r="E202" s="48"/>
      <c r="F202" s="87"/>
      <c r="G202" s="41"/>
      <c r="H202" s="41"/>
      <c r="I202" s="42"/>
      <c r="J202" s="39"/>
    </row>
    <row r="203" spans="1:10" x14ac:dyDescent="0.2">
      <c r="A203" s="39" t="str">
        <f t="shared" si="5"/>
        <v/>
      </c>
      <c r="B203" s="39"/>
      <c r="C203" s="39"/>
      <c r="D203" s="39"/>
      <c r="E203" s="48"/>
      <c r="F203" s="87"/>
      <c r="G203" s="41"/>
      <c r="H203" s="41"/>
      <c r="I203" s="42"/>
      <c r="J203" s="39"/>
    </row>
    <row r="204" spans="1:10" x14ac:dyDescent="0.2">
      <c r="A204" s="39" t="str">
        <f t="shared" si="5"/>
        <v/>
      </c>
      <c r="B204" s="39"/>
      <c r="C204" s="39"/>
      <c r="D204" s="39"/>
      <c r="E204" s="48"/>
      <c r="F204" s="87"/>
      <c r="G204" s="41"/>
      <c r="H204" s="41"/>
      <c r="I204" s="42"/>
      <c r="J204" s="39"/>
    </row>
    <row r="205" spans="1:10" x14ac:dyDescent="0.2">
      <c r="A205" s="39" t="str">
        <f t="shared" si="5"/>
        <v/>
      </c>
      <c r="B205" s="39"/>
      <c r="C205" s="39"/>
      <c r="D205" s="39"/>
      <c r="E205" s="48"/>
      <c r="F205" s="87"/>
      <c r="G205" s="41"/>
      <c r="H205" s="41"/>
      <c r="I205" s="42"/>
      <c r="J205" s="39"/>
    </row>
    <row r="206" spans="1:10" x14ac:dyDescent="0.2">
      <c r="A206" s="39" t="str">
        <f t="shared" si="5"/>
        <v/>
      </c>
      <c r="B206" s="39"/>
      <c r="C206" s="39"/>
      <c r="D206" s="39"/>
      <c r="E206" s="48"/>
      <c r="F206" s="87"/>
      <c r="G206" s="41"/>
      <c r="H206" s="41"/>
      <c r="I206" s="42"/>
      <c r="J206" s="39"/>
    </row>
    <row r="207" spans="1:10" x14ac:dyDescent="0.2">
      <c r="A207" s="39" t="str">
        <f t="shared" si="5"/>
        <v/>
      </c>
      <c r="B207" s="39"/>
      <c r="C207" s="39"/>
      <c r="D207" s="39"/>
      <c r="E207" s="48"/>
      <c r="F207" s="87"/>
      <c r="G207" s="41"/>
      <c r="H207" s="41"/>
      <c r="I207" s="42"/>
      <c r="J207" s="39"/>
    </row>
    <row r="208" spans="1:10" x14ac:dyDescent="0.2">
      <c r="A208" s="39" t="str">
        <f t="shared" si="5"/>
        <v/>
      </c>
      <c r="B208" s="39"/>
      <c r="C208" s="39"/>
      <c r="D208" s="39"/>
      <c r="E208" s="48"/>
      <c r="F208" s="87"/>
      <c r="G208" s="41"/>
      <c r="H208" s="41"/>
      <c r="I208" s="42"/>
      <c r="J208" s="39"/>
    </row>
    <row r="209" spans="1:10" x14ac:dyDescent="0.2">
      <c r="A209" s="39" t="str">
        <f t="shared" si="5"/>
        <v/>
      </c>
      <c r="B209" s="39"/>
      <c r="C209" s="39"/>
      <c r="D209" s="39"/>
      <c r="E209" s="48"/>
      <c r="F209" s="87"/>
      <c r="G209" s="41"/>
      <c r="H209" s="41"/>
      <c r="I209" s="42"/>
      <c r="J209" s="39"/>
    </row>
    <row r="210" spans="1:10" x14ac:dyDescent="0.2">
      <c r="A210" s="39" t="str">
        <f t="shared" si="5"/>
        <v/>
      </c>
      <c r="B210" s="39"/>
      <c r="C210" s="39"/>
      <c r="D210" s="39"/>
      <c r="E210" s="48"/>
      <c r="F210" s="87"/>
      <c r="G210" s="41"/>
      <c r="H210" s="41"/>
      <c r="I210" s="42"/>
      <c r="J210" s="39"/>
    </row>
    <row r="211" spans="1:10" x14ac:dyDescent="0.2">
      <c r="A211" s="39" t="str">
        <f t="shared" si="5"/>
        <v/>
      </c>
      <c r="B211" s="39"/>
      <c r="C211" s="39"/>
      <c r="D211" s="39"/>
      <c r="E211" s="48"/>
      <c r="F211" s="87"/>
      <c r="G211" s="41"/>
      <c r="H211" s="41"/>
      <c r="I211" s="42"/>
      <c r="J211" s="39"/>
    </row>
    <row r="212" spans="1:10" x14ac:dyDescent="0.2">
      <c r="A212" s="39" t="str">
        <f t="shared" si="5"/>
        <v/>
      </c>
      <c r="B212" s="39"/>
      <c r="C212" s="39"/>
      <c r="D212" s="39"/>
      <c r="E212" s="48"/>
      <c r="F212" s="87"/>
      <c r="G212" s="41"/>
      <c r="H212" s="41"/>
      <c r="I212" s="42"/>
      <c r="J212" s="39"/>
    </row>
    <row r="213" spans="1:10" x14ac:dyDescent="0.2">
      <c r="A213" s="39" t="str">
        <f t="shared" si="5"/>
        <v/>
      </c>
      <c r="B213" s="39"/>
      <c r="C213" s="39"/>
      <c r="D213" s="39"/>
      <c r="E213" s="48"/>
      <c r="F213" s="87"/>
      <c r="G213" s="41"/>
      <c r="H213" s="41"/>
      <c r="I213" s="42"/>
      <c r="J213" s="39"/>
    </row>
    <row r="214" spans="1:10" x14ac:dyDescent="0.2">
      <c r="A214" s="39" t="str">
        <f t="shared" si="5"/>
        <v/>
      </c>
      <c r="B214" s="39"/>
      <c r="C214" s="39"/>
      <c r="D214" s="39"/>
      <c r="E214" s="48"/>
      <c r="F214" s="87"/>
      <c r="G214" s="41"/>
      <c r="H214" s="41"/>
      <c r="I214" s="42"/>
      <c r="J214" s="39"/>
    </row>
    <row r="215" spans="1:10" x14ac:dyDescent="0.2">
      <c r="A215" s="39" t="str">
        <f t="shared" si="5"/>
        <v/>
      </c>
      <c r="B215" s="39"/>
      <c r="C215" s="39"/>
      <c r="D215" s="39"/>
      <c r="E215" s="48"/>
      <c r="F215" s="87"/>
      <c r="G215" s="41"/>
      <c r="H215" s="41"/>
      <c r="I215" s="42"/>
      <c r="J215" s="39"/>
    </row>
    <row r="216" spans="1:10" x14ac:dyDescent="0.2">
      <c r="A216" s="39" t="str">
        <f t="shared" si="5"/>
        <v/>
      </c>
      <c r="B216" s="39"/>
      <c r="C216" s="39"/>
      <c r="D216" s="39"/>
      <c r="E216" s="48"/>
      <c r="F216" s="87"/>
      <c r="G216" s="41"/>
      <c r="H216" s="41"/>
      <c r="I216" s="42"/>
      <c r="J216" s="39"/>
    </row>
    <row r="217" spans="1:10" x14ac:dyDescent="0.2">
      <c r="A217" s="39" t="str">
        <f t="shared" si="5"/>
        <v/>
      </c>
      <c r="B217" s="39"/>
      <c r="C217" s="39"/>
      <c r="D217" s="39"/>
      <c r="E217" s="48"/>
      <c r="F217" s="87"/>
      <c r="G217" s="41"/>
      <c r="H217" s="41"/>
      <c r="I217" s="42"/>
      <c r="J217" s="39"/>
    </row>
    <row r="218" spans="1:10" x14ac:dyDescent="0.2">
      <c r="A218" s="39" t="str">
        <f t="shared" si="5"/>
        <v/>
      </c>
      <c r="B218" s="39"/>
      <c r="C218" s="39"/>
      <c r="D218" s="39"/>
      <c r="E218" s="48"/>
      <c r="F218" s="87"/>
      <c r="G218" s="41"/>
      <c r="H218" s="41"/>
      <c r="I218" s="42"/>
      <c r="J218" s="39"/>
    </row>
    <row r="219" spans="1:10" x14ac:dyDescent="0.2">
      <c r="A219" s="39" t="str">
        <f t="shared" si="5"/>
        <v/>
      </c>
      <c r="B219" s="39"/>
      <c r="C219" s="39"/>
      <c r="D219" s="39"/>
      <c r="E219" s="48"/>
      <c r="F219" s="87"/>
      <c r="G219" s="41"/>
      <c r="H219" s="41"/>
      <c r="I219" s="42"/>
      <c r="J219" s="39"/>
    </row>
    <row r="220" spans="1:10" x14ac:dyDescent="0.2">
      <c r="A220" s="39" t="str">
        <f t="shared" si="5"/>
        <v/>
      </c>
      <c r="B220" s="39"/>
      <c r="C220" s="39"/>
      <c r="D220" s="39"/>
      <c r="E220" s="48"/>
      <c r="F220" s="87"/>
      <c r="G220" s="41"/>
      <c r="H220" s="41"/>
      <c r="I220" s="42"/>
      <c r="J220" s="39"/>
    </row>
    <row r="221" spans="1:10" x14ac:dyDescent="0.2">
      <c r="A221" s="39" t="str">
        <f t="shared" si="5"/>
        <v/>
      </c>
      <c r="B221" s="39"/>
      <c r="C221" s="39"/>
      <c r="D221" s="39"/>
      <c r="E221" s="48"/>
      <c r="F221" s="87"/>
      <c r="G221" s="41"/>
      <c r="H221" s="41"/>
      <c r="I221" s="42"/>
      <c r="J221" s="39"/>
    </row>
    <row r="222" spans="1:10" x14ac:dyDescent="0.2">
      <c r="A222" s="39" t="str">
        <f t="shared" si="5"/>
        <v/>
      </c>
      <c r="B222" s="39"/>
      <c r="C222" s="39"/>
      <c r="D222" s="39"/>
      <c r="E222" s="48"/>
      <c r="F222" s="87"/>
      <c r="G222" s="41"/>
      <c r="H222" s="41"/>
      <c r="I222" s="42"/>
      <c r="J222" s="39"/>
    </row>
    <row r="223" spans="1:10" x14ac:dyDescent="0.2">
      <c r="A223" s="39" t="str">
        <f t="shared" si="5"/>
        <v/>
      </c>
      <c r="B223" s="39"/>
      <c r="C223" s="39"/>
      <c r="D223" s="39"/>
      <c r="E223" s="48"/>
      <c r="F223" s="87"/>
      <c r="G223" s="41"/>
      <c r="H223" s="41"/>
      <c r="I223" s="42"/>
      <c r="J223" s="39"/>
    </row>
    <row r="224" spans="1:10" x14ac:dyDescent="0.2">
      <c r="A224" s="39" t="str">
        <f t="shared" si="5"/>
        <v/>
      </c>
      <c r="B224" s="39"/>
      <c r="C224" s="39"/>
      <c r="D224" s="39"/>
      <c r="E224" s="48"/>
      <c r="F224" s="87"/>
      <c r="G224" s="41"/>
      <c r="H224" s="41"/>
      <c r="I224" s="42"/>
      <c r="J224" s="39"/>
    </row>
    <row r="225" spans="1:10" x14ac:dyDescent="0.2">
      <c r="A225" s="39" t="str">
        <f t="shared" si="5"/>
        <v/>
      </c>
      <c r="B225" s="39"/>
      <c r="C225" s="39"/>
      <c r="D225" s="39"/>
      <c r="E225" s="48"/>
      <c r="F225" s="87"/>
      <c r="G225" s="41"/>
      <c r="H225" s="41"/>
      <c r="I225" s="42"/>
      <c r="J225" s="39"/>
    </row>
    <row r="226" spans="1:10" x14ac:dyDescent="0.2">
      <c r="A226" s="39" t="str">
        <f t="shared" si="5"/>
        <v/>
      </c>
      <c r="B226" s="39"/>
      <c r="C226" s="39"/>
      <c r="D226" s="39"/>
      <c r="E226" s="48"/>
      <c r="F226" s="87"/>
      <c r="G226" s="41"/>
      <c r="H226" s="41"/>
      <c r="I226" s="42"/>
      <c r="J226" s="39"/>
    </row>
    <row r="227" spans="1:10" x14ac:dyDescent="0.2">
      <c r="A227" s="39" t="str">
        <f t="shared" si="5"/>
        <v/>
      </c>
      <c r="B227" s="39"/>
      <c r="C227" s="39"/>
      <c r="D227" s="39"/>
      <c r="E227" s="48"/>
      <c r="F227" s="87"/>
      <c r="G227" s="41"/>
      <c r="H227" s="41"/>
      <c r="I227" s="42"/>
      <c r="J227" s="39"/>
    </row>
    <row r="228" spans="1:10" x14ac:dyDescent="0.2">
      <c r="A228" s="39" t="str">
        <f>IF(B228&lt;&gt;"","Curitiba","")</f>
        <v/>
      </c>
      <c r="B228" s="39"/>
      <c r="C228" s="39"/>
      <c r="D228" s="39"/>
      <c r="E228" s="39"/>
      <c r="F228" s="86"/>
      <c r="G228" s="41"/>
      <c r="H228" s="41"/>
      <c r="I228" s="42"/>
      <c r="J228" s="39"/>
    </row>
    <row r="229" spans="1:10" x14ac:dyDescent="0.2">
      <c r="A229" s="39" t="str">
        <f t="shared" ref="A229:A255" si="6">IF(B229&lt;&gt;"","Curitiba","")</f>
        <v/>
      </c>
      <c r="B229" s="39"/>
      <c r="C229" s="39"/>
      <c r="D229" s="39"/>
      <c r="E229" s="39"/>
      <c r="F229" s="86"/>
      <c r="G229" s="41"/>
      <c r="H229" s="41"/>
      <c r="I229" s="42"/>
      <c r="J229" s="39"/>
    </row>
    <row r="230" spans="1:10" x14ac:dyDescent="0.2">
      <c r="A230" s="39" t="str">
        <f t="shared" si="6"/>
        <v/>
      </c>
      <c r="B230" s="39"/>
      <c r="C230" s="39"/>
      <c r="D230" s="39"/>
      <c r="E230" s="39"/>
      <c r="F230" s="86"/>
      <c r="G230" s="41"/>
      <c r="H230" s="41"/>
      <c r="I230" s="42"/>
      <c r="J230" s="39"/>
    </row>
    <row r="231" spans="1:10" x14ac:dyDescent="0.2">
      <c r="A231" s="39" t="str">
        <f t="shared" si="6"/>
        <v/>
      </c>
      <c r="B231" s="39"/>
      <c r="C231" s="39"/>
      <c r="D231" s="39"/>
      <c r="E231" s="39"/>
      <c r="F231" s="86"/>
      <c r="G231" s="41"/>
      <c r="H231" s="41"/>
      <c r="I231" s="42"/>
      <c r="J231" s="39"/>
    </row>
    <row r="232" spans="1:10" x14ac:dyDescent="0.2">
      <c r="A232" s="39" t="str">
        <f t="shared" si="6"/>
        <v/>
      </c>
      <c r="B232" s="39"/>
      <c r="C232" s="39"/>
      <c r="D232" s="39"/>
      <c r="E232" s="39"/>
      <c r="F232" s="86"/>
      <c r="G232" s="41"/>
      <c r="H232" s="41"/>
      <c r="I232" s="42"/>
      <c r="J232" s="39"/>
    </row>
    <row r="233" spans="1:10" x14ac:dyDescent="0.2">
      <c r="A233" s="39" t="str">
        <f t="shared" si="6"/>
        <v/>
      </c>
      <c r="B233" s="39"/>
      <c r="C233" s="39"/>
      <c r="D233" s="39"/>
      <c r="E233" s="39"/>
      <c r="F233" s="86"/>
      <c r="G233" s="41"/>
      <c r="H233" s="41"/>
      <c r="I233" s="42"/>
      <c r="J233" s="39"/>
    </row>
    <row r="234" spans="1:10" x14ac:dyDescent="0.2">
      <c r="A234" s="39" t="str">
        <f t="shared" si="6"/>
        <v/>
      </c>
      <c r="B234" s="39"/>
      <c r="C234" s="39"/>
      <c r="D234" s="39"/>
      <c r="E234" s="39"/>
      <c r="F234" s="86"/>
      <c r="G234" s="41"/>
      <c r="H234" s="41"/>
      <c r="I234" s="42"/>
      <c r="J234" s="39"/>
    </row>
    <row r="235" spans="1:10" x14ac:dyDescent="0.2">
      <c r="A235" s="39" t="str">
        <f t="shared" si="6"/>
        <v/>
      </c>
      <c r="B235" s="39"/>
      <c r="C235" s="39"/>
      <c r="D235" s="39"/>
      <c r="E235" s="39"/>
      <c r="F235" s="86"/>
      <c r="G235" s="41"/>
      <c r="H235" s="41"/>
      <c r="I235" s="42"/>
      <c r="J235" s="39"/>
    </row>
    <row r="236" spans="1:10" x14ac:dyDescent="0.2">
      <c r="A236" s="39" t="str">
        <f t="shared" si="6"/>
        <v/>
      </c>
      <c r="B236" s="39"/>
      <c r="C236" s="39"/>
      <c r="D236" s="39"/>
      <c r="E236" s="39"/>
      <c r="F236" s="86"/>
      <c r="G236" s="41"/>
      <c r="H236" s="41"/>
      <c r="I236" s="42"/>
      <c r="J236" s="39"/>
    </row>
    <row r="237" spans="1:10" x14ac:dyDescent="0.2">
      <c r="A237" s="39" t="str">
        <f t="shared" si="6"/>
        <v/>
      </c>
      <c r="B237" s="39"/>
      <c r="C237" s="39"/>
      <c r="D237" s="39"/>
      <c r="E237" s="39"/>
      <c r="F237" s="86"/>
      <c r="G237" s="41"/>
      <c r="H237" s="41"/>
      <c r="I237" s="42"/>
      <c r="J237" s="39"/>
    </row>
    <row r="238" spans="1:10" x14ac:dyDescent="0.2">
      <c r="A238" s="39" t="str">
        <f t="shared" si="6"/>
        <v/>
      </c>
      <c r="B238" s="39"/>
      <c r="C238" s="39"/>
      <c r="D238" s="39"/>
      <c r="E238" s="39"/>
      <c r="F238" s="86"/>
      <c r="G238" s="41"/>
      <c r="H238" s="41"/>
      <c r="I238" s="42"/>
      <c r="J238" s="39"/>
    </row>
    <row r="239" spans="1:10" x14ac:dyDescent="0.2">
      <c r="A239" s="39" t="str">
        <f t="shared" si="6"/>
        <v/>
      </c>
      <c r="B239" s="39"/>
      <c r="C239" s="39"/>
      <c r="D239" s="39"/>
      <c r="E239" s="39"/>
      <c r="F239" s="86"/>
      <c r="G239" s="41"/>
      <c r="H239" s="41"/>
      <c r="I239" s="42"/>
      <c r="J239" s="39"/>
    </row>
    <row r="240" spans="1:10" x14ac:dyDescent="0.2">
      <c r="A240" s="39" t="str">
        <f t="shared" si="6"/>
        <v/>
      </c>
      <c r="B240" s="39"/>
      <c r="C240" s="39"/>
      <c r="D240" s="39"/>
      <c r="E240" s="39"/>
      <c r="F240" s="86"/>
      <c r="G240" s="41"/>
      <c r="H240" s="41"/>
      <c r="I240" s="42"/>
      <c r="J240" s="39"/>
    </row>
    <row r="241" spans="1:10" x14ac:dyDescent="0.2">
      <c r="A241" s="39" t="str">
        <f t="shared" si="6"/>
        <v/>
      </c>
      <c r="B241" s="39"/>
      <c r="C241" s="39"/>
      <c r="D241" s="39"/>
      <c r="E241" s="39"/>
      <c r="F241" s="86"/>
      <c r="G241" s="41"/>
      <c r="H241" s="41"/>
      <c r="I241" s="42"/>
      <c r="J241" s="39"/>
    </row>
    <row r="242" spans="1:10" x14ac:dyDescent="0.2">
      <c r="A242" s="39" t="str">
        <f t="shared" si="6"/>
        <v/>
      </c>
      <c r="B242" s="39"/>
      <c r="C242" s="39"/>
      <c r="D242" s="39"/>
      <c r="E242" s="39"/>
      <c r="F242" s="86"/>
      <c r="G242" s="41"/>
      <c r="H242" s="41"/>
      <c r="I242" s="42"/>
      <c r="J242" s="39"/>
    </row>
    <row r="243" spans="1:10" x14ac:dyDescent="0.2">
      <c r="A243" s="39" t="str">
        <f t="shared" si="6"/>
        <v/>
      </c>
      <c r="B243" s="39"/>
      <c r="C243" s="39"/>
      <c r="D243" s="39"/>
      <c r="E243" s="39"/>
      <c r="F243" s="86"/>
      <c r="G243" s="41"/>
      <c r="H243" s="41"/>
      <c r="I243" s="42"/>
      <c r="J243" s="39"/>
    </row>
    <row r="244" spans="1:10" x14ac:dyDescent="0.2">
      <c r="A244" s="39" t="str">
        <f t="shared" si="6"/>
        <v/>
      </c>
      <c r="B244" s="39"/>
      <c r="C244" s="39"/>
      <c r="D244" s="39"/>
      <c r="E244" s="39"/>
      <c r="F244" s="86"/>
      <c r="G244" s="41"/>
      <c r="H244" s="41"/>
      <c r="I244" s="42"/>
      <c r="J244" s="39"/>
    </row>
    <row r="245" spans="1:10" x14ac:dyDescent="0.2">
      <c r="A245" s="39" t="str">
        <f t="shared" si="6"/>
        <v/>
      </c>
      <c r="B245" s="39"/>
      <c r="C245" s="39"/>
      <c r="D245" s="39"/>
      <c r="E245" s="39"/>
      <c r="F245" s="86"/>
      <c r="G245" s="41"/>
      <c r="H245" s="41"/>
      <c r="I245" s="42"/>
      <c r="J245" s="39"/>
    </row>
    <row r="246" spans="1:10" x14ac:dyDescent="0.2">
      <c r="A246" s="39" t="str">
        <f t="shared" si="6"/>
        <v/>
      </c>
      <c r="B246" s="39"/>
      <c r="C246" s="39"/>
      <c r="D246" s="39"/>
      <c r="E246" s="39"/>
      <c r="F246" s="86"/>
      <c r="G246" s="41"/>
      <c r="H246" s="41"/>
      <c r="I246" s="42"/>
      <c r="J246" s="39"/>
    </row>
    <row r="247" spans="1:10" x14ac:dyDescent="0.2">
      <c r="A247" s="39" t="str">
        <f t="shared" si="6"/>
        <v/>
      </c>
      <c r="B247" s="39"/>
      <c r="C247" s="39"/>
      <c r="D247" s="39"/>
      <c r="E247" s="39"/>
      <c r="F247" s="86"/>
      <c r="G247" s="41"/>
      <c r="H247" s="41"/>
      <c r="I247" s="42"/>
      <c r="J247" s="39"/>
    </row>
    <row r="248" spans="1:10" x14ac:dyDescent="0.2">
      <c r="A248" s="39" t="str">
        <f t="shared" si="6"/>
        <v/>
      </c>
      <c r="B248" s="39"/>
      <c r="C248" s="39"/>
      <c r="D248" s="39"/>
      <c r="E248" s="39"/>
      <c r="F248" s="86"/>
      <c r="G248" s="41"/>
      <c r="H248" s="41"/>
      <c r="I248" s="42"/>
      <c r="J248" s="39"/>
    </row>
    <row r="249" spans="1:10" x14ac:dyDescent="0.2">
      <c r="A249" s="39" t="str">
        <f t="shared" si="6"/>
        <v/>
      </c>
      <c r="B249" s="39"/>
      <c r="C249" s="39"/>
      <c r="D249" s="39"/>
      <c r="E249" s="39"/>
      <c r="F249" s="86"/>
      <c r="G249" s="41"/>
      <c r="H249" s="41"/>
      <c r="I249" s="42"/>
      <c r="J249" s="39"/>
    </row>
    <row r="250" spans="1:10" x14ac:dyDescent="0.2">
      <c r="A250" s="39" t="str">
        <f t="shared" si="6"/>
        <v/>
      </c>
      <c r="B250" s="39"/>
      <c r="C250" s="39"/>
      <c r="D250" s="39"/>
      <c r="E250" s="39"/>
      <c r="F250" s="86"/>
      <c r="G250" s="41"/>
      <c r="H250" s="41"/>
      <c r="I250" s="42"/>
      <c r="J250" s="39"/>
    </row>
    <row r="251" spans="1:10" x14ac:dyDescent="0.2">
      <c r="A251" s="39" t="str">
        <f t="shared" si="6"/>
        <v/>
      </c>
      <c r="B251" s="39"/>
      <c r="C251" s="39"/>
      <c r="D251" s="39"/>
      <c r="E251" s="39"/>
      <c r="F251" s="86"/>
      <c r="G251" s="41"/>
      <c r="H251" s="41"/>
      <c r="I251" s="42"/>
      <c r="J251" s="39"/>
    </row>
    <row r="252" spans="1:10" x14ac:dyDescent="0.2">
      <c r="A252" s="39" t="str">
        <f t="shared" si="6"/>
        <v/>
      </c>
      <c r="B252" s="39"/>
      <c r="C252" s="39"/>
      <c r="D252" s="39"/>
      <c r="E252" s="39"/>
      <c r="F252" s="86"/>
      <c r="G252" s="41"/>
      <c r="H252" s="41"/>
      <c r="I252" s="42"/>
      <c r="J252" s="39"/>
    </row>
    <row r="253" spans="1:10" x14ac:dyDescent="0.2">
      <c r="A253" s="39" t="str">
        <f t="shared" si="6"/>
        <v/>
      </c>
      <c r="B253" s="39"/>
      <c r="C253" s="39"/>
      <c r="D253" s="39"/>
      <c r="E253" s="39"/>
      <c r="F253" s="86"/>
      <c r="G253" s="41"/>
      <c r="H253" s="41"/>
      <c r="I253" s="42"/>
      <c r="J253" s="39"/>
    </row>
    <row r="254" spans="1:10" x14ac:dyDescent="0.2">
      <c r="A254" s="39" t="str">
        <f t="shared" si="6"/>
        <v/>
      </c>
      <c r="B254" s="39"/>
      <c r="C254" s="39"/>
      <c r="D254" s="39"/>
      <c r="E254" s="39"/>
      <c r="F254" s="86"/>
      <c r="G254" s="41"/>
      <c r="H254" s="41"/>
      <c r="I254" s="42"/>
      <c r="J254" s="39"/>
    </row>
    <row r="255" spans="1:10" x14ac:dyDescent="0.2">
      <c r="A255" s="39" t="str">
        <f t="shared" si="6"/>
        <v/>
      </c>
      <c r="B255" s="39"/>
      <c r="C255" s="39"/>
      <c r="D255" s="39"/>
      <c r="E255" s="39"/>
      <c r="F255" s="86"/>
      <c r="G255" s="41"/>
      <c r="H255" s="41"/>
      <c r="I255" s="42"/>
      <c r="J255" s="39"/>
    </row>
    <row r="256" spans="1:10" x14ac:dyDescent="0.2">
      <c r="A256" s="39" t="str">
        <f>IF(B256&lt;&gt;"","Curitiba","")</f>
        <v>Curitiba</v>
      </c>
      <c r="B256" s="39" t="str">
        <f>_xlfn.XLOOKUP(D256,Reunido!B:B,Reunido!A:A,"",0)</f>
        <v>HUAW01 / HANGZHOU HUAWANG NEW MATERIAL TECHNOLOGY CO.</v>
      </c>
      <c r="C256" s="39" t="str">
        <f>IF(D256&lt;&gt;0,IF(_xlfn.XLOOKUP(D256,Reunido!B:B,Reunido!BQ:BQ,"",0)="Print",$O$2,IF(_xlfn.XLOOKUP(D256,Reunido!B:B,Reunido!BQ:BQ,"",0)="IP",$O$3,IF(_xlfn.XLOOKUP(D256,Reunido!B:B,Reunido!BQ:BQ,"",0)="FF",$O$4,""))),"")</f>
        <v xml:space="preserve">Decorative Papers </v>
      </c>
      <c r="D256" s="39" t="s">
        <v>193</v>
      </c>
      <c r="E256" s="39" t="s">
        <v>194</v>
      </c>
      <c r="F256" s="86">
        <v>1870</v>
      </c>
      <c r="G256" s="41" cm="1">
        <f t="array" ref="G256">_xlfn.XLOOKUP(D256&amp;F256,Reunido!B:B&amp;Reunido!D:D,Reunido!Y:Y,"",1)</f>
        <v>49815</v>
      </c>
      <c r="H256" s="41" cm="1">
        <f t="array" ref="H256">_xlfn.XLOOKUP(D256&amp;F256,Reunido!B:B&amp;Reunido!D:D,Reunido!AC:AC,"",1)</f>
        <v>97599.674491586455</v>
      </c>
      <c r="I256" s="42">
        <v>46143</v>
      </c>
      <c r="J256" s="39" t="str">
        <f t="shared" ref="J256:J271" si="7">C256</f>
        <v xml:space="preserve">Decorative Papers </v>
      </c>
    </row>
    <row r="257" spans="1:10" x14ac:dyDescent="0.2">
      <c r="A257" s="39" t="str">
        <f t="shared" ref="A257:A258" si="8">IF(B257&lt;&gt;"","Curitiba","")</f>
        <v>Curitiba</v>
      </c>
      <c r="B257" s="39" t="str">
        <f>_xlfn.XLOOKUP(D257,Reunido!B:B,Reunido!A:A,"",0)</f>
        <v>KOEH02 / KOEHLER PAPER SE / DEU</v>
      </c>
      <c r="C257" s="39" t="str">
        <f>IF(D257&lt;&gt;0,IF(_xlfn.XLOOKUP(D257,Reunido!B:B,Reunido!BQ:BQ,"",0)="Print",$O$2,IF(_xlfn.XLOOKUP(D257,Reunido!B:B,Reunido!BQ:BQ,"",0)="IP",$O$3,IF(_xlfn.XLOOKUP(D257,Reunido!B:B,Reunido!BQ:BQ,"",0)="FF",$O$4,""))),"")</f>
        <v xml:space="preserve">Decorative Papers </v>
      </c>
      <c r="D257" s="39" t="s">
        <v>138</v>
      </c>
      <c r="E257" s="39" t="s">
        <v>139</v>
      </c>
      <c r="F257" s="86">
        <v>1870</v>
      </c>
      <c r="G257" s="41" cm="1">
        <f t="array" ref="G257">_xlfn.XLOOKUP(D257&amp;F257,Reunido!B:B&amp;Reunido!D:D,Reunido!Y:Y,"",1)</f>
        <v>50006</v>
      </c>
      <c r="H257" s="41" cm="1">
        <f t="array" ref="H257">_xlfn.XLOOKUP(D257&amp;F257,Reunido!B:B&amp;Reunido!D:D,Reunido!AC:AC,"",1)</f>
        <v>102527.44737127038</v>
      </c>
      <c r="I257" s="42">
        <v>46143</v>
      </c>
      <c r="J257" s="39" t="str">
        <f t="shared" si="7"/>
        <v xml:space="preserve">Decorative Papers </v>
      </c>
    </row>
    <row r="258" spans="1:10" x14ac:dyDescent="0.2">
      <c r="A258" s="39" t="str">
        <f t="shared" si="8"/>
        <v>Curitiba</v>
      </c>
      <c r="B258" s="39" t="str">
        <f>_xlfn.XLOOKUP(D258,Reunido!B:B,Reunido!A:A,"",0)</f>
        <v>KOEH02 / KOEHLER PAPER SE / DEU</v>
      </c>
      <c r="C258" s="39" t="str">
        <f>IF(D258&lt;&gt;0,IF(_xlfn.XLOOKUP(D258,Reunido!B:B,Reunido!BQ:BQ,"",0)="Print",$O$2,IF(_xlfn.XLOOKUP(D258,Reunido!B:B,Reunido!BQ:BQ,"",0)="IP",$O$3,IF(_xlfn.XLOOKUP(D258,Reunido!B:B,Reunido!BQ:BQ,"",0)="FF",$O$4,""))),"")</f>
        <v xml:space="preserve">Decorative Papers </v>
      </c>
      <c r="D258" s="39" t="s">
        <v>140</v>
      </c>
      <c r="E258" s="39" t="s">
        <v>141</v>
      </c>
      <c r="F258" s="86">
        <v>1870</v>
      </c>
      <c r="G258" s="41" cm="1">
        <f t="array" ref="G258">_xlfn.XLOOKUP(D258&amp;F258,Reunido!B:B&amp;Reunido!D:D,Reunido!Y:Y,"",1)</f>
        <v>24590</v>
      </c>
      <c r="H258" s="41" cm="1">
        <f t="array" ref="H258">_xlfn.XLOOKUP(D258&amp;F258,Reunido!B:B&amp;Reunido!D:D,Reunido!AC:AC,"",1)</f>
        <v>42585.189882772291</v>
      </c>
      <c r="I258" s="42">
        <v>46143</v>
      </c>
      <c r="J258" s="39" t="str">
        <f t="shared" si="7"/>
        <v xml:space="preserve">Decorative Papers </v>
      </c>
    </row>
    <row r="259" spans="1:10" x14ac:dyDescent="0.2">
      <c r="A259" s="39" t="str">
        <f>IF(B259&lt;&gt;"","Curitiba","")</f>
        <v>Curitiba</v>
      </c>
      <c r="B259" s="39" t="str">
        <f>_xlfn.XLOOKUP(D259,Reunido!B:B,Reunido!A:A,"",0)</f>
        <v>MLTV01 / VF PAPEIS S.A. / BRA</v>
      </c>
      <c r="C259" s="39" t="str">
        <f>IF(D259&lt;&gt;0,IF(_xlfn.XLOOKUP(D259,Reunido!B:B,Reunido!BQ:BQ,"",0)="Print",$O$2,IF(_xlfn.XLOOKUP(D259,Reunido!B:B,Reunido!BQ:BQ,"",0)="IP",$O$3,IF(_xlfn.XLOOKUP(D259,Reunido!B:B,Reunido!BQ:BQ,"",0)="FF",$O$4,""))),"")</f>
        <v>Finish Foils</v>
      </c>
      <c r="D259" s="39" t="s">
        <v>146</v>
      </c>
      <c r="E259" s="39" t="s">
        <v>147</v>
      </c>
      <c r="F259" s="86">
        <v>1900</v>
      </c>
      <c r="G259" s="41" cm="1">
        <f t="array" ref="G259">_xlfn.XLOOKUP(D259&amp;F259,Reunido!B:B&amp;Reunido!D:D,Reunido!Y:Y,"",1)</f>
        <v>15407</v>
      </c>
      <c r="H259" s="41" cm="1">
        <f t="array" ref="H259">_xlfn.XLOOKUP(D259&amp;F259,Reunido!B:B&amp;Reunido!D:D,Reunido!AC:AC,"",1)</f>
        <v>49353.589099764722</v>
      </c>
      <c r="I259" s="42">
        <v>46143</v>
      </c>
      <c r="J259" s="39" t="str">
        <f t="shared" si="7"/>
        <v>Finish Foils</v>
      </c>
    </row>
    <row r="260" spans="1:10" x14ac:dyDescent="0.2">
      <c r="A260" s="39" t="str">
        <f>IF(B260&lt;&gt;"","Curitiba","")</f>
        <v>Curitiba</v>
      </c>
      <c r="B260" s="39" t="str">
        <f>_xlfn.XLOOKUP(D260,Reunido!B:B,Reunido!A:A,"",0)</f>
        <v>MUNK04 / MUNKSJO PAPER S/A DETTINGEN / DEU</v>
      </c>
      <c r="C260" s="39" t="str">
        <f>IF(D260&lt;&gt;0,IF(_xlfn.XLOOKUP(D260,Reunido!B:B,Reunido!BQ:BQ,"",0)="Print",$O$2,IF(_xlfn.XLOOKUP(D260,Reunido!B:B,Reunido!BQ:BQ,"",0)="IP",$O$3,IF(_xlfn.XLOOKUP(D260,Reunido!B:B,Reunido!BQ:BQ,"",0)="FF",$O$4,""))),"")</f>
        <v>Finish Foils</v>
      </c>
      <c r="D260" s="39" t="s">
        <v>154</v>
      </c>
      <c r="E260" s="39" t="s">
        <v>155</v>
      </c>
      <c r="F260" s="86">
        <v>1880</v>
      </c>
      <c r="G260" s="41" cm="1">
        <f t="array" ref="G260">_xlfn.XLOOKUP(D260&amp;F260,Reunido!B:B&amp;Reunido!D:D,Reunido!Y:Y,"",1)</f>
        <v>48397</v>
      </c>
      <c r="H260" s="41" cm="1">
        <f t="array" ref="H260">_xlfn.XLOOKUP(D260&amp;F260,Reunido!B:B&amp;Reunido!D:D,Reunido!AC:AC,"",1)</f>
        <v>125304.01179667241</v>
      </c>
      <c r="I260" s="42">
        <v>46143</v>
      </c>
      <c r="J260" s="39" t="str">
        <f t="shared" si="7"/>
        <v>Finish Foils</v>
      </c>
    </row>
    <row r="261" spans="1:10" x14ac:dyDescent="0.2">
      <c r="A261" s="39" t="str">
        <f>IF(B261&lt;&gt;"","Curitiba","")</f>
        <v>Curitiba</v>
      </c>
      <c r="B261" s="39" t="str">
        <f>_xlfn.XLOOKUP(D261,Reunido!B:B,Reunido!A:A,"",0)</f>
        <v>MUNK09 / MUNKSJO CAIEIRAS LTDA / BRA</v>
      </c>
      <c r="C261" s="39" t="str">
        <f>IF(D261&lt;&gt;0,IF(_xlfn.XLOOKUP(D261,Reunido!B:B,Reunido!BQ:BQ,"",0)="Print",$O$2,IF(_xlfn.XLOOKUP(D261,Reunido!B:B,Reunido!BQ:BQ,"",0)="IP",$O$3,IF(_xlfn.XLOOKUP(D261,Reunido!B:B,Reunido!BQ:BQ,"",0)="FF",$O$4,""))),"")</f>
        <v xml:space="preserve">Decorative Papers </v>
      </c>
      <c r="D261" s="39" t="s">
        <v>162</v>
      </c>
      <c r="E261" s="39" t="s">
        <v>163</v>
      </c>
      <c r="F261" s="86">
        <v>2175</v>
      </c>
      <c r="G261" s="41" cm="1">
        <f t="array" ref="G261">_xlfn.XLOOKUP(D261&amp;F261,Reunido!B:B&amp;Reunido!D:D,Reunido!Y:Y,"",1)</f>
        <v>21078</v>
      </c>
      <c r="H261" s="41" cm="1">
        <f t="array" ref="H261">_xlfn.XLOOKUP(D261&amp;F261,Reunido!B:B&amp;Reunido!D:D,Reunido!AC:AC,"",1)</f>
        <v>66741.863578633318</v>
      </c>
      <c r="I261" s="42">
        <v>46143</v>
      </c>
      <c r="J261" s="39" t="str">
        <f t="shared" si="7"/>
        <v xml:space="preserve">Decorative Papers </v>
      </c>
    </row>
    <row r="262" spans="1:10" x14ac:dyDescent="0.2">
      <c r="A262" s="39" t="str">
        <f>IF(B262&lt;&gt;"","Curitiba","")</f>
        <v>Curitiba</v>
      </c>
      <c r="B262" s="39" t="str">
        <f>_xlfn.XLOOKUP(D262,Reunido!B:B,Reunido!A:A,"",0)</f>
        <v>MUNK09 / MUNKSJO CAIEIRAS LTDA / BRA</v>
      </c>
      <c r="C262" s="39" t="str">
        <f>IF(D262&lt;&gt;0,IF(_xlfn.XLOOKUP(D262,Reunido!B:B,Reunido!BQ:BQ,"",0)="Print",$O$2,IF(_xlfn.XLOOKUP(D262,Reunido!B:B,Reunido!BQ:BQ,"",0)="IP",$O$3,IF(_xlfn.XLOOKUP(D262,Reunido!B:B,Reunido!BQ:BQ,"",0)="FF",$O$4,""))),"")</f>
        <v>Impregnated Papers</v>
      </c>
      <c r="D262" s="39" t="s">
        <v>160</v>
      </c>
      <c r="E262" s="39" t="s">
        <v>161</v>
      </c>
      <c r="F262" s="86">
        <v>1855</v>
      </c>
      <c r="G262" s="41" cm="1">
        <f t="array" ref="G262">_xlfn.XLOOKUP(D262&amp;F262,Reunido!B:B&amp;Reunido!D:D,Reunido!Y:Y,"",1)</f>
        <v>5374</v>
      </c>
      <c r="H262" s="41" cm="1">
        <f t="array" ref="H262">_xlfn.XLOOKUP(D262&amp;F262,Reunido!B:B&amp;Reunido!D:D,Reunido!AC:AC,"",1)</f>
        <v>22390.812894532872</v>
      </c>
      <c r="I262" s="42">
        <v>46143</v>
      </c>
      <c r="J262" s="39" t="str">
        <f t="shared" si="7"/>
        <v>Impregnated Papers</v>
      </c>
    </row>
    <row r="263" spans="1:10" x14ac:dyDescent="0.2">
      <c r="A263" s="39" t="str">
        <f t="shared" ref="A263:A265" si="9">IF(B263&lt;&gt;"","Curitiba","")</f>
        <v>Curitiba</v>
      </c>
      <c r="B263" s="39" t="str">
        <f>_xlfn.XLOOKUP(D263,Reunido!B:B,Reunido!A:A,"",0)</f>
        <v>MUNK09 / MUNKSJO CAIEIRAS LTDA / BRA</v>
      </c>
      <c r="C263" s="39" t="str">
        <f>IF(D263&lt;&gt;0,IF(_xlfn.XLOOKUP(D263,Reunido!B:B,Reunido!BQ:BQ,"",0)="Print",$O$2,IF(_xlfn.XLOOKUP(D263,Reunido!B:B,Reunido!BQ:BQ,"",0)="IP",$O$3,IF(_xlfn.XLOOKUP(D263,Reunido!B:B,Reunido!BQ:BQ,"",0)="FF",$O$4,""))),"")</f>
        <v>Impregnated Papers</v>
      </c>
      <c r="D263" s="39" t="s">
        <v>213</v>
      </c>
      <c r="E263" s="39" t="s">
        <v>214</v>
      </c>
      <c r="F263" s="86">
        <v>1855</v>
      </c>
      <c r="G263" s="41" cm="1">
        <f t="array" ref="G263">_xlfn.XLOOKUP(D263&amp;F263,Reunido!B:B&amp;Reunido!D:D,Reunido!Y:Y,"",1)</f>
        <v>11561</v>
      </c>
      <c r="H263" s="41" cm="1">
        <f t="array" ref="H263">_xlfn.XLOOKUP(D263&amp;F263,Reunido!B:B&amp;Reunido!D:D,Reunido!AC:AC,"",1)</f>
        <v>63098.575428067626</v>
      </c>
      <c r="I263" s="42">
        <v>46143</v>
      </c>
      <c r="J263" s="39" t="str">
        <f t="shared" si="7"/>
        <v>Impregnated Papers</v>
      </c>
    </row>
    <row r="264" spans="1:10" x14ac:dyDescent="0.2">
      <c r="A264" s="39" t="str">
        <f t="shared" si="9"/>
        <v>Curitiba</v>
      </c>
      <c r="B264" s="39" t="str">
        <f>_xlfn.XLOOKUP(D264,Reunido!B:B,Reunido!A:A,"",0)</f>
        <v>SUNS01 / CENTURY SUNSHINE (SHOUGUANG) SPECIALTY PAPER CO., LTD.</v>
      </c>
      <c r="C264" s="39" t="str">
        <f>IF(D264&lt;&gt;0,IF(_xlfn.XLOOKUP(D264,Reunido!B:B,Reunido!BQ:BQ,"",0)="Print",$O$2,IF(_xlfn.XLOOKUP(D264,Reunido!B:B,Reunido!BQ:BQ,"",0)="IP",$O$3,IF(_xlfn.XLOOKUP(D264,Reunido!B:B,Reunido!BQ:BQ,"",0)="FF",$O$4,""))),"")</f>
        <v xml:space="preserve">Decorative Papers </v>
      </c>
      <c r="D264" s="39" t="s">
        <v>130</v>
      </c>
      <c r="E264" s="39" t="s">
        <v>131</v>
      </c>
      <c r="F264" s="86">
        <v>1870</v>
      </c>
      <c r="G264" s="41" cm="1">
        <f t="array" ref="G264">_xlfn.XLOOKUP(D264&amp;F264,Reunido!B:B&amp;Reunido!D:D,Reunido!Y:Y,"",1)</f>
        <v>102506</v>
      </c>
      <c r="H264" s="41" cm="1">
        <f t="array" ref="H264">_xlfn.XLOOKUP(D264&amp;F264,Reunido!B:B&amp;Reunido!D:D,Reunido!AC:AC,"",1)</f>
        <v>195923.83893692459</v>
      </c>
      <c r="I264" s="42">
        <v>46143</v>
      </c>
      <c r="J264" s="39" t="str">
        <f t="shared" si="7"/>
        <v xml:space="preserve">Decorative Papers </v>
      </c>
    </row>
    <row r="265" spans="1:10" x14ac:dyDescent="0.2">
      <c r="A265" s="39" t="str">
        <f t="shared" si="9"/>
        <v>Curitiba</v>
      </c>
      <c r="B265" s="39" t="str">
        <f>_xlfn.XLOOKUP(D265,Reunido!B:B,Reunido!A:A,"",0)</f>
        <v>SUNS01 / CENTURY SUNSHINE (SHOUGUANG) SPECIALTY PAPER CO., LTD.</v>
      </c>
      <c r="C265" s="39" t="str">
        <f>IF(D265&lt;&gt;0,IF(_xlfn.XLOOKUP(D265,Reunido!B:B,Reunido!BQ:BQ,"",0)="Print",$O$2,IF(_xlfn.XLOOKUP(D265,Reunido!B:B,Reunido!BQ:BQ,"",0)="IP",$O$3,IF(_xlfn.XLOOKUP(D265,Reunido!B:B,Reunido!BQ:BQ,"",0)="FF",$O$4,""))),"")</f>
        <v>Impregnated Papers</v>
      </c>
      <c r="D265" s="39" t="s">
        <v>128</v>
      </c>
      <c r="E265" s="39" t="s">
        <v>129</v>
      </c>
      <c r="F265" s="86">
        <v>1855</v>
      </c>
      <c r="G265" s="41" cm="1">
        <f t="array" ref="G265">_xlfn.XLOOKUP(D265&amp;F265,Reunido!B:B&amp;Reunido!D:D,Reunido!Y:Y,"",1)</f>
        <v>298861</v>
      </c>
      <c r="H265" s="41" cm="1">
        <f t="array" ref="H265">_xlfn.XLOOKUP(D265&amp;F265,Reunido!B:B&amp;Reunido!D:D,Reunido!AC:AC,"",1)</f>
        <v>566617.77165945701</v>
      </c>
      <c r="I265" s="42">
        <v>46143</v>
      </c>
      <c r="J265" s="39" t="str">
        <f t="shared" si="7"/>
        <v>Impregnated Papers</v>
      </c>
    </row>
    <row r="266" spans="1:10" x14ac:dyDescent="0.2">
      <c r="A266" s="39" t="str">
        <f>IF(B266&lt;&gt;"","Curitiba","")</f>
        <v>Curitiba</v>
      </c>
      <c r="B266" s="39" t="str">
        <f>_xlfn.XLOOKUP(D266,Reunido!B:B,Reunido!A:A,"",0)</f>
        <v>TECH01 / Felix Schoeller GmbH &amp; Co. / DEU</v>
      </c>
      <c r="C266" s="39" t="str">
        <f>IF(D266&lt;&gt;0,IF(_xlfn.XLOOKUP(D266,Reunido!B:B,Reunido!BQ:BQ,"",0)="Print",$O$2,IF(_xlfn.XLOOKUP(D266,Reunido!B:B,Reunido!BQ:BQ,"",0)="IP",$O$3,IF(_xlfn.XLOOKUP(D266,Reunido!B:B,Reunido!BQ:BQ,"",0)="FF",$O$4,""))),"")</f>
        <v xml:space="preserve">Decorative Papers </v>
      </c>
      <c r="D266" s="39" t="s">
        <v>170</v>
      </c>
      <c r="E266" s="39" t="s">
        <v>171</v>
      </c>
      <c r="F266" s="86">
        <v>1870</v>
      </c>
      <c r="G266" s="41" cm="1">
        <f t="array" ref="G266">_xlfn.XLOOKUP(D266&amp;F266,Reunido!B:B&amp;Reunido!D:D,Reunido!Y:Y,"",1)</f>
        <v>45359</v>
      </c>
      <c r="H266" s="41" cm="1">
        <f t="array" ref="H266">_xlfn.XLOOKUP(D266&amp;F266,Reunido!B:B&amp;Reunido!D:D,Reunido!AC:AC,"",1)</f>
        <v>128813.36543733103</v>
      </c>
      <c r="I266" s="42">
        <v>46143</v>
      </c>
      <c r="J266" s="39" t="str">
        <f t="shared" si="7"/>
        <v xml:space="preserve">Decorative Papers </v>
      </c>
    </row>
    <row r="267" spans="1:10" x14ac:dyDescent="0.2">
      <c r="A267" s="39" t="str">
        <f t="shared" ref="A267:A271" si="10">IF(B267&lt;&gt;"","Curitiba","")</f>
        <v>Curitiba</v>
      </c>
      <c r="B267" s="39" t="str">
        <f>_xlfn.XLOOKUP(D267,Reunido!B:B,Reunido!A:A,"",0)</f>
        <v>SUNS01 / CENTURY SUNSHINE (SHOUGUANG) SPECIALTY PAPER CO., LTD.</v>
      </c>
      <c r="C267" s="39" t="str">
        <f>IF(D267&lt;&gt;0,IF(_xlfn.XLOOKUP(D267,Reunido!B:B,Reunido!BQ:BQ,"",0)="Print",$O$2,IF(_xlfn.XLOOKUP(D267,Reunido!B:B,Reunido!BQ:BQ,"",0)="IP",$O$3,IF(_xlfn.XLOOKUP(D267,Reunido!B:B,Reunido!BQ:BQ,"",0)="FF",$O$4,""))),"")</f>
        <v xml:space="preserve">Decorative Papers </v>
      </c>
      <c r="D267" s="39" t="s">
        <v>219</v>
      </c>
      <c r="E267" s="39" t="s">
        <v>220</v>
      </c>
      <c r="F267" s="86">
        <v>1870</v>
      </c>
      <c r="G267" s="41" cm="1">
        <f t="array" ref="G267">_xlfn.XLOOKUP(D267&amp;F267,Reunido!B:B&amp;Reunido!D:D,Reunido!Y:Y,"",1)</f>
        <v>25115</v>
      </c>
      <c r="H267" s="41" cm="1">
        <f t="array" ref="H267">_xlfn.XLOOKUP(D267&amp;F267,Reunido!B:B&amp;Reunido!D:D,Reunido!AC:AC,"",1)</f>
        <v>52338.056126999843</v>
      </c>
      <c r="I267" s="42">
        <v>46143</v>
      </c>
      <c r="J267" s="39" t="str">
        <f t="shared" si="7"/>
        <v xml:space="preserve">Decorative Papers </v>
      </c>
    </row>
    <row r="268" spans="1:10" x14ac:dyDescent="0.2">
      <c r="A268" s="39" t="str">
        <f t="shared" si="10"/>
        <v>Curitiba</v>
      </c>
      <c r="B268" s="39" t="str">
        <f>_xlfn.XLOOKUP(D268,Reunido!B:B,Reunido!A:A,"",0)</f>
        <v>MUNK01 / MUNKSJO UNTERKOCHEN GMBH / DEU</v>
      </c>
      <c r="C268" s="39" t="str">
        <f>IF(D268&lt;&gt;0,IF(_xlfn.XLOOKUP(D268,Reunido!B:B,Reunido!BQ:BQ,"",0)="Print",$O$2,IF(_xlfn.XLOOKUP(D268,Reunido!B:B,Reunido!BQ:BQ,"",0)="IP",$O$3,IF(_xlfn.XLOOKUP(D268,Reunido!B:B,Reunido!BQ:BQ,"",0)="FF",$O$4,""))),"")</f>
        <v xml:space="preserve">Decorative Papers </v>
      </c>
      <c r="D268" s="39" t="s">
        <v>221</v>
      </c>
      <c r="E268" s="39" t="s">
        <v>222</v>
      </c>
      <c r="F268" s="86">
        <v>1870</v>
      </c>
      <c r="G268" s="41" cm="1">
        <f t="array" ref="G268">_xlfn.XLOOKUP(D268&amp;F268,Reunido!B:B&amp;Reunido!D:D,Reunido!Y:Y,"",1)</f>
        <v>25408</v>
      </c>
      <c r="H268" s="41" cm="1">
        <f t="array" ref="H268">_xlfn.XLOOKUP(D268&amp;F268,Reunido!B:B&amp;Reunido!D:D,Reunido!AC:AC,"",1)</f>
        <v>56819.636716111636</v>
      </c>
      <c r="I268" s="42">
        <v>46143</v>
      </c>
      <c r="J268" s="39" t="str">
        <f t="shared" si="7"/>
        <v xml:space="preserve">Decorative Papers </v>
      </c>
    </row>
    <row r="269" spans="1:10" x14ac:dyDescent="0.2">
      <c r="A269" s="39" t="str">
        <f t="shared" si="10"/>
        <v>Curitiba</v>
      </c>
      <c r="B269" s="39" t="str">
        <f>_xlfn.XLOOKUP(D269,Reunido!B:B,Reunido!A:A,"",0)</f>
        <v>MUNK01 / MUNKSJO UNTERKOCHEN GMBH / DEU</v>
      </c>
      <c r="C269" s="39" t="str">
        <f>IF(D269&lt;&gt;0,IF(_xlfn.XLOOKUP(D269,Reunido!B:B,Reunido!BQ:BQ,"",0)="Print",$O$2,IF(_xlfn.XLOOKUP(D269,Reunido!B:B,Reunido!BQ:BQ,"",0)="IP",$O$3,IF(_xlfn.XLOOKUP(D269,Reunido!B:B,Reunido!BQ:BQ,"",0)="FF",$O$4,""))),"")</f>
        <v xml:space="preserve">Decorative Papers </v>
      </c>
      <c r="D269" s="39" t="s">
        <v>221</v>
      </c>
      <c r="E269" s="39" t="s">
        <v>222</v>
      </c>
      <c r="F269" s="86">
        <v>2175</v>
      </c>
      <c r="G269" s="41" cm="1">
        <f t="array" ref="G269">_xlfn.XLOOKUP(D269&amp;F269,Reunido!B:B&amp;Reunido!D:D,Reunido!Y:Y,"",1)</f>
        <v>10854</v>
      </c>
      <c r="H269" s="41" cm="1">
        <f t="array" ref="H269">_xlfn.XLOOKUP(D269&amp;F269,Reunido!B:B&amp;Reunido!D:D,Reunido!AC:AC,"",1)</f>
        <v>24272.682900840242</v>
      </c>
      <c r="I269" s="42">
        <v>46143</v>
      </c>
      <c r="J269" s="39" t="str">
        <f t="shared" si="7"/>
        <v xml:space="preserve">Decorative Papers </v>
      </c>
    </row>
    <row r="270" spans="1:10" x14ac:dyDescent="0.2">
      <c r="A270" s="39" t="str">
        <f t="shared" si="10"/>
        <v>Curitiba</v>
      </c>
      <c r="B270" s="39" t="str">
        <f>_xlfn.XLOOKUP(D270,Reunido!B:B,Reunido!A:A,"",0)</f>
        <v>MUNK09 / MUNKSJO CAIEIRAS LTDA / BRA</v>
      </c>
      <c r="C270" s="39" t="str">
        <f>IF(D270&lt;&gt;0,IF(_xlfn.XLOOKUP(D270,Reunido!B:B,Reunido!BQ:BQ,"",0)="Print",$O$2,IF(_xlfn.XLOOKUP(D270,Reunido!B:B,Reunido!BQ:BQ,"",0)="IP",$O$3,IF(_xlfn.XLOOKUP(D270,Reunido!B:B,Reunido!BQ:BQ,"",0)="FF",$O$4,""))),"")</f>
        <v xml:space="preserve">Decorative Papers </v>
      </c>
      <c r="D270" s="39" t="s">
        <v>162</v>
      </c>
      <c r="E270" s="39" t="s">
        <v>163</v>
      </c>
      <c r="F270" s="86">
        <v>1270</v>
      </c>
      <c r="G270" s="41" cm="1">
        <f t="array" ref="G270">_xlfn.XLOOKUP(D270&amp;F270,Reunido!B:B&amp;Reunido!D:D,Reunido!Y:Y,"",1)</f>
        <v>18333</v>
      </c>
      <c r="H270" s="41" cm="1">
        <f t="array" ref="H270">_xlfn.XLOOKUP(D270&amp;F270,Reunido!B:B&amp;Reunido!D:D,Reunido!AC:AC,"",1)</f>
        <v>58050.034458520022</v>
      </c>
      <c r="I270" s="42">
        <v>46143</v>
      </c>
      <c r="J270" s="39" t="str">
        <f t="shared" si="7"/>
        <v xml:space="preserve">Decorative Papers </v>
      </c>
    </row>
    <row r="271" spans="1:10" x14ac:dyDescent="0.2">
      <c r="A271" s="39" t="str">
        <f t="shared" si="10"/>
        <v>Curitiba</v>
      </c>
      <c r="B271" s="39" t="str">
        <f>_xlfn.XLOOKUP(D271,Reunido!B:B,Reunido!A:A,"",0)</f>
        <v>MUNK09 / MUNKSJO CAIEIRAS LTDA / BRA</v>
      </c>
      <c r="C271" s="39" t="str">
        <f>IF(D271&lt;&gt;0,IF(_xlfn.XLOOKUP(D271,Reunido!B:B,Reunido!BQ:BQ,"",0)="Print",$O$2,IF(_xlfn.XLOOKUP(D271,Reunido!B:B,Reunido!BQ:BQ,"",0)="IP",$O$3,IF(_xlfn.XLOOKUP(D271,Reunido!B:B,Reunido!BQ:BQ,"",0)="FF",$O$4,""))),"")</f>
        <v>Impregnated Papers</v>
      </c>
      <c r="D271" s="39" t="s">
        <v>223</v>
      </c>
      <c r="E271" s="39" t="s">
        <v>224</v>
      </c>
      <c r="F271" s="86">
        <v>2080</v>
      </c>
      <c r="G271" s="41" cm="1">
        <f t="array" ref="G271">_xlfn.XLOOKUP(D271&amp;F271,Reunido!B:B&amp;Reunido!D:D,Reunido!Y:Y,"",1)</f>
        <v>20123</v>
      </c>
      <c r="H271" s="41" cm="1">
        <f t="array" ref="H271">_xlfn.XLOOKUP(D271&amp;F271,Reunido!B:B&amp;Reunido!D:D,Reunido!AC:AC,"",1)</f>
        <v>48938.021066959533</v>
      </c>
      <c r="I271" s="42">
        <v>46143</v>
      </c>
      <c r="J271" s="39" t="str">
        <f t="shared" si="7"/>
        <v>Impregnated Papers</v>
      </c>
    </row>
  </sheetData>
  <dataValidations count="1">
    <dataValidation type="list" allowBlank="1" showInputMessage="1" showErrorMessage="1" sqref="C1:C271" xr:uid="{0FBA1B3C-4B51-4A37-B0AA-66E0B8E1B40B}">
      <formula1>$O$2:$O$4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715A-9B90-495E-8B19-F8E911D25DBA}">
  <dimension ref="A1:BO555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59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8" max="8" width="10.140625" bestFit="1" customWidth="1"/>
    <col min="9" max="9" width="8.140625" bestFit="1" customWidth="1"/>
    <col min="10" max="10" width="7.42578125" bestFit="1" customWidth="1"/>
    <col min="11" max="11" width="11.710937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4" width="11.7109375" bestFit="1" customWidth="1"/>
    <col min="65" max="65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24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30</v>
      </c>
      <c r="B9" s="3" t="s">
        <v>31</v>
      </c>
      <c r="C9" s="2">
        <v>50606</v>
      </c>
      <c r="D9" s="2">
        <v>14.463658000000001</v>
      </c>
      <c r="E9" s="2">
        <v>2.3044944741000002</v>
      </c>
      <c r="F9" s="2">
        <v>731947.87674800004</v>
      </c>
      <c r="G9" s="2">
        <v>116621.2473551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 t="shared" ref="BL9:BL23" si="0">SUM(F9,K9,P9,U9,Z9,AE9,AJ9,AO9,AT9,AY9,BD9,BI9)</f>
        <v>731947.87674800004</v>
      </c>
      <c r="BM9" s="2">
        <f t="shared" ref="BM9:BM23" si="1">SUM(G9,L9,Q9,V9,AA9,AF9,AK9,AP9,AU9,AZ9,BE9,BJ9)</f>
        <v>116621.2473551</v>
      </c>
    </row>
    <row r="10" spans="1:67" x14ac:dyDescent="0.2">
      <c r="A10" s="3" t="s">
        <v>32</v>
      </c>
      <c r="B10" s="3" t="s">
        <v>33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48907</v>
      </c>
      <c r="I10" s="2">
        <v>13.877686000000001</v>
      </c>
      <c r="J10" s="2">
        <v>2.2559924039000001</v>
      </c>
      <c r="K10" s="2">
        <v>678715.98920199997</v>
      </c>
      <c r="L10" s="2">
        <v>110333.82049773852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>
        <v>0</v>
      </c>
      <c r="BJ10" s="2">
        <v>0</v>
      </c>
      <c r="BL10" s="2">
        <f t="shared" si="0"/>
        <v>678715.98920199997</v>
      </c>
      <c r="BM10" s="2">
        <f t="shared" si="1"/>
        <v>110333.82049773852</v>
      </c>
    </row>
    <row r="11" spans="1:67" x14ac:dyDescent="0.2">
      <c r="A11" s="3" t="s">
        <v>34</v>
      </c>
      <c r="B11" s="3" t="s">
        <v>35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122693</v>
      </c>
      <c r="I11" s="2">
        <v>14.208520000000002</v>
      </c>
      <c r="J11" s="2">
        <v>2.3097736316000002</v>
      </c>
      <c r="K11" s="2">
        <v>1743285.9443599998</v>
      </c>
      <c r="L11" s="2">
        <v>283393.0561845089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>
        <v>0</v>
      </c>
      <c r="BJ11" s="2">
        <v>0</v>
      </c>
      <c r="BL11" s="2">
        <f t="shared" si="0"/>
        <v>1743285.9443599998</v>
      </c>
      <c r="BM11" s="2">
        <f t="shared" si="1"/>
        <v>283393.0561845089</v>
      </c>
    </row>
    <row r="12" spans="1:67" x14ac:dyDescent="0.2">
      <c r="A12" s="3" t="s">
        <v>36</v>
      </c>
      <c r="B12" s="3" t="s">
        <v>37</v>
      </c>
      <c r="C12" s="2">
        <v>25137</v>
      </c>
      <c r="D12" s="2">
        <v>13.702960000000001</v>
      </c>
      <c r="E12" s="2">
        <v>2.1832924699</v>
      </c>
      <c r="F12" s="2">
        <v>344451.30552000005</v>
      </c>
      <c r="G12" s="2">
        <v>54881.422815664708</v>
      </c>
      <c r="H12" s="2">
        <v>25228</v>
      </c>
      <c r="I12" s="2">
        <v>13.602141999999997</v>
      </c>
      <c r="J12" s="2">
        <v>2.2111992611</v>
      </c>
      <c r="K12" s="2">
        <v>343154.838376</v>
      </c>
      <c r="L12" s="2">
        <v>55784.134958753202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>
        <v>0</v>
      </c>
      <c r="BJ12" s="2">
        <v>0</v>
      </c>
      <c r="BL12" s="2">
        <f t="shared" si="0"/>
        <v>687606.14389599999</v>
      </c>
      <c r="BM12" s="2">
        <f t="shared" si="1"/>
        <v>110665.55777441792</v>
      </c>
    </row>
    <row r="13" spans="1:67" x14ac:dyDescent="0.2">
      <c r="A13" s="3" t="s">
        <v>38</v>
      </c>
      <c r="B13" s="3" t="s">
        <v>39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6000</v>
      </c>
      <c r="I13" s="2">
        <v>47.124158000000001</v>
      </c>
      <c r="J13" s="2">
        <v>7.6606245802000004</v>
      </c>
      <c r="K13" s="2">
        <v>282744.94799999997</v>
      </c>
      <c r="L13" s="2">
        <v>45963.747481407503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>
        <v>0</v>
      </c>
      <c r="BJ13" s="2">
        <v>0</v>
      </c>
      <c r="BL13" s="2">
        <f t="shared" si="0"/>
        <v>282744.94799999997</v>
      </c>
      <c r="BM13" s="2">
        <f t="shared" si="1"/>
        <v>45963.747481407503</v>
      </c>
    </row>
    <row r="14" spans="1:67" x14ac:dyDescent="0.2">
      <c r="A14" s="3" t="s">
        <v>40</v>
      </c>
      <c r="B14" s="3" t="s">
        <v>41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2000</v>
      </c>
      <c r="I14" s="2">
        <v>49.401167000000001</v>
      </c>
      <c r="J14" s="2">
        <v>8.0307810319000001</v>
      </c>
      <c r="K14" s="2">
        <v>98802.334000000003</v>
      </c>
      <c r="L14" s="2">
        <v>16061.562063877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>
        <v>0</v>
      </c>
      <c r="BJ14" s="2">
        <v>0</v>
      </c>
      <c r="BL14" s="2">
        <f t="shared" si="0"/>
        <v>98802.334000000003</v>
      </c>
      <c r="BM14" s="2">
        <f t="shared" si="1"/>
        <v>16061.562063877</v>
      </c>
    </row>
    <row r="15" spans="1:67" x14ac:dyDescent="0.2">
      <c r="A15" s="3" t="s">
        <v>42</v>
      </c>
      <c r="B15" s="3" t="s">
        <v>43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1000</v>
      </c>
      <c r="I15" s="2">
        <v>43.706982999999994</v>
      </c>
      <c r="J15" s="2">
        <v>7.1051198049999993</v>
      </c>
      <c r="K15" s="2">
        <v>43706.982999999993</v>
      </c>
      <c r="L15" s="2">
        <v>7105.1198049564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>
        <v>0</v>
      </c>
      <c r="BJ15" s="2">
        <v>0</v>
      </c>
      <c r="BL15" s="2">
        <f t="shared" si="0"/>
        <v>43706.982999999993</v>
      </c>
      <c r="BM15" s="2">
        <f t="shared" si="1"/>
        <v>7105.1198049564</v>
      </c>
    </row>
    <row r="16" spans="1:67" x14ac:dyDescent="0.2">
      <c r="A16" s="3" t="s">
        <v>44</v>
      </c>
      <c r="B16" s="3" t="s">
        <v>45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3080</v>
      </c>
      <c r="I16" s="2">
        <v>26.426462000000004</v>
      </c>
      <c r="J16" s="2">
        <v>4.2959537730999999</v>
      </c>
      <c r="K16" s="2">
        <v>81393.502960000013</v>
      </c>
      <c r="L16" s="2">
        <v>13231.537621250904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>
        <v>0</v>
      </c>
      <c r="BJ16" s="2">
        <v>0</v>
      </c>
      <c r="BL16" s="2">
        <f t="shared" si="0"/>
        <v>81393.502960000013</v>
      </c>
      <c r="BM16" s="2">
        <f t="shared" si="1"/>
        <v>13231.537621250904</v>
      </c>
    </row>
    <row r="17" spans="1:65" x14ac:dyDescent="0.2">
      <c r="A17" s="3" t="s">
        <v>46</v>
      </c>
      <c r="B17" s="3" t="s">
        <v>47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2133</v>
      </c>
      <c r="I17" s="2">
        <v>42.726665000000004</v>
      </c>
      <c r="J17" s="2">
        <v>6.9457567842000003</v>
      </c>
      <c r="K17" s="2">
        <v>91135.976445000008</v>
      </c>
      <c r="L17" s="2">
        <v>14815.2992207998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>
        <v>0</v>
      </c>
      <c r="BJ17" s="2">
        <v>0</v>
      </c>
      <c r="BL17" s="2">
        <f t="shared" si="0"/>
        <v>91135.976445000008</v>
      </c>
      <c r="BM17" s="2">
        <f t="shared" si="1"/>
        <v>14815.2992207998</v>
      </c>
    </row>
    <row r="18" spans="1:65" x14ac:dyDescent="0.2">
      <c r="A18" s="3" t="s">
        <v>48</v>
      </c>
      <c r="B18" s="3" t="s">
        <v>49</v>
      </c>
      <c r="C18" s="2">
        <v>24067</v>
      </c>
      <c r="D18" s="2">
        <v>28.349291000000004</v>
      </c>
      <c r="E18" s="2">
        <v>4.5168922310999999</v>
      </c>
      <c r="F18" s="2">
        <v>682282.386497</v>
      </c>
      <c r="G18" s="2">
        <v>108708.04532586815</v>
      </c>
      <c r="H18" s="2">
        <v>41376</v>
      </c>
      <c r="I18" s="2">
        <v>28.173235999999996</v>
      </c>
      <c r="J18" s="2">
        <v>4.5799138565999993</v>
      </c>
      <c r="K18" s="2">
        <v>1165695.8127360002</v>
      </c>
      <c r="L18" s="2">
        <v>189498.51573203548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>
        <v>0</v>
      </c>
      <c r="BJ18" s="2">
        <v>0</v>
      </c>
      <c r="BL18" s="2">
        <f t="shared" si="0"/>
        <v>1847978.1992330002</v>
      </c>
      <c r="BM18" s="2">
        <f t="shared" si="1"/>
        <v>298206.56105790363</v>
      </c>
    </row>
    <row r="19" spans="1:65" x14ac:dyDescent="0.2">
      <c r="A19" s="3" t="s">
        <v>50</v>
      </c>
      <c r="B19" s="3" t="s">
        <v>51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8114</v>
      </c>
      <c r="I19" s="2">
        <v>15.784606999999999</v>
      </c>
      <c r="J19" s="2">
        <v>2.5659863964999992</v>
      </c>
      <c r="K19" s="2">
        <v>128076.301198</v>
      </c>
      <c r="L19" s="2">
        <v>20820.413621033302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>
        <v>0</v>
      </c>
      <c r="BJ19" s="2">
        <v>0</v>
      </c>
      <c r="BL19" s="2">
        <f t="shared" si="0"/>
        <v>128076.301198</v>
      </c>
      <c r="BM19" s="2">
        <f t="shared" si="1"/>
        <v>20820.413621033302</v>
      </c>
    </row>
    <row r="20" spans="1:65" x14ac:dyDescent="0.2">
      <c r="A20" s="3" t="s">
        <v>52</v>
      </c>
      <c r="B20" s="3" t="s">
        <v>53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5979</v>
      </c>
      <c r="I20" s="2">
        <v>53.563283999999996</v>
      </c>
      <c r="J20" s="2">
        <v>8.7073854987000026</v>
      </c>
      <c r="K20" s="2">
        <v>320254.87503599992</v>
      </c>
      <c r="L20" s="2">
        <v>52061.457896833599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>
        <v>0</v>
      </c>
      <c r="BJ20" s="2">
        <v>0</v>
      </c>
      <c r="BL20" s="2">
        <f t="shared" si="0"/>
        <v>320254.87503599992</v>
      </c>
      <c r="BM20" s="2">
        <f t="shared" si="1"/>
        <v>52061.457896833599</v>
      </c>
    </row>
    <row r="21" spans="1:65" x14ac:dyDescent="0.2">
      <c r="A21" s="3" t="s">
        <v>54</v>
      </c>
      <c r="B21" s="3" t="s">
        <v>55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2100</v>
      </c>
      <c r="I21" s="2">
        <v>18.455170000000003</v>
      </c>
      <c r="J21" s="2">
        <v>3.0001200008000004</v>
      </c>
      <c r="K21" s="2">
        <v>38755.857000000004</v>
      </c>
      <c r="L21" s="2">
        <v>6300.2520015796999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>
        <v>0</v>
      </c>
      <c r="BJ21" s="2">
        <v>0</v>
      </c>
      <c r="BL21" s="2">
        <f t="shared" si="0"/>
        <v>38755.857000000004</v>
      </c>
      <c r="BM21" s="2">
        <f t="shared" si="1"/>
        <v>6300.2520015796999</v>
      </c>
    </row>
    <row r="22" spans="1:65" x14ac:dyDescent="0.2">
      <c r="A22" s="3" t="s">
        <v>56</v>
      </c>
      <c r="B22" s="3" t="s">
        <v>57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2000</v>
      </c>
      <c r="I22" s="2">
        <v>26.268895000000004</v>
      </c>
      <c r="J22" s="2">
        <v>4.2703392755000005</v>
      </c>
      <c r="K22" s="2">
        <v>52537.79</v>
      </c>
      <c r="L22" s="2">
        <v>8540.6785510141999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>
        <v>0</v>
      </c>
      <c r="BJ22" s="2">
        <v>0</v>
      </c>
      <c r="BL22" s="2">
        <f t="shared" si="0"/>
        <v>52537.79</v>
      </c>
      <c r="BM22" s="2">
        <f t="shared" si="1"/>
        <v>8540.6785510141999</v>
      </c>
    </row>
    <row r="23" spans="1:65" x14ac:dyDescent="0.2">
      <c r="A23" s="3" t="s">
        <v>58</v>
      </c>
      <c r="B23" s="3" t="s">
        <v>59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6</v>
      </c>
      <c r="I23" s="2">
        <v>1437.248333</v>
      </c>
      <c r="J23" s="2">
        <v>233.64279331379993</v>
      </c>
      <c r="K23" s="2">
        <v>8623.4899980000009</v>
      </c>
      <c r="L23" s="2">
        <v>1401.8567598827999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>
        <v>0</v>
      </c>
      <c r="BJ23" s="2">
        <v>0</v>
      </c>
      <c r="BL23" s="2">
        <f t="shared" si="0"/>
        <v>8623.4899980000009</v>
      </c>
      <c r="BM23" s="2">
        <f t="shared" si="1"/>
        <v>1401.8567598827999</v>
      </c>
    </row>
    <row r="24" spans="1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1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1:65" s="1" customFormat="1" x14ac:dyDescent="0.2">
      <c r="A26" s="20"/>
      <c r="B26" s="23"/>
      <c r="C26" s="21"/>
      <c r="D26" s="22"/>
      <c r="E26" s="22"/>
      <c r="F26" s="24"/>
      <c r="G26" s="25"/>
      <c r="H26" s="21"/>
      <c r="I26" s="22"/>
      <c r="J26" s="22"/>
      <c r="K26" s="24"/>
      <c r="L26" s="25"/>
      <c r="M26" s="21"/>
      <c r="N26" s="22"/>
      <c r="O26" s="22"/>
      <c r="P26" s="24"/>
      <c r="Q26" s="25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L26" s="21"/>
      <c r="BM26" s="21"/>
    </row>
    <row r="27" spans="1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1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1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1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1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1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L441" s="2"/>
      <c r="BM441" s="2"/>
    </row>
    <row r="442" spans="3:65" x14ac:dyDescent="0.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L442" s="2"/>
      <c r="BM442" s="2"/>
    </row>
    <row r="443" spans="3:65" x14ac:dyDescent="0.2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L443" s="2"/>
      <c r="BM443" s="2"/>
    </row>
    <row r="444" spans="3:65" x14ac:dyDescent="0.2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L444" s="2"/>
      <c r="BM444" s="2"/>
    </row>
    <row r="445" spans="3:65" x14ac:dyDescent="0.2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L445" s="2"/>
      <c r="BM445" s="2"/>
    </row>
    <row r="446" spans="3:65" x14ac:dyDescent="0.2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L446" s="2"/>
      <c r="BM446" s="2"/>
    </row>
    <row r="447" spans="3:65" x14ac:dyDescent="0.2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L447" s="2"/>
      <c r="BM447" s="2"/>
    </row>
    <row r="448" spans="3:65" x14ac:dyDescent="0.2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L448" s="2"/>
      <c r="BM448" s="2"/>
    </row>
    <row r="449" spans="3:65" x14ac:dyDescent="0.2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L449" s="2"/>
      <c r="BM449" s="2"/>
    </row>
    <row r="450" spans="3:65" x14ac:dyDescent="0.2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L450" s="2"/>
      <c r="BM450" s="2"/>
    </row>
    <row r="451" spans="3:65" x14ac:dyDescent="0.2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L451" s="2"/>
      <c r="BM451" s="2"/>
    </row>
    <row r="452" spans="3:65" x14ac:dyDescent="0.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L452" s="2"/>
      <c r="BM452" s="2"/>
    </row>
    <row r="453" spans="3:65" x14ac:dyDescent="0.2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L453" s="2"/>
      <c r="BM453" s="2"/>
    </row>
    <row r="454" spans="3:65" x14ac:dyDescent="0.2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L454" s="2"/>
      <c r="BM454" s="2"/>
    </row>
    <row r="455" spans="3:65" x14ac:dyDescent="0.2">
      <c r="BL455" s="2"/>
      <c r="BM455" s="2"/>
    </row>
    <row r="456" spans="3:65" x14ac:dyDescent="0.2">
      <c r="BL456" s="2"/>
      <c r="BM456" s="2"/>
    </row>
    <row r="457" spans="3:65" x14ac:dyDescent="0.2">
      <c r="BL457" s="2"/>
      <c r="BM457" s="2"/>
    </row>
    <row r="458" spans="3:65" x14ac:dyDescent="0.2">
      <c r="BL458" s="2"/>
      <c r="BM458" s="2"/>
    </row>
    <row r="459" spans="3:65" x14ac:dyDescent="0.2">
      <c r="BL459" s="2"/>
      <c r="BM459" s="2"/>
    </row>
    <row r="460" spans="3:65" x14ac:dyDescent="0.2">
      <c r="BL460" s="2"/>
      <c r="BM460" s="2"/>
    </row>
    <row r="461" spans="3:65" x14ac:dyDescent="0.2">
      <c r="BL461" s="2"/>
      <c r="BM461" s="2"/>
    </row>
    <row r="462" spans="3:65" x14ac:dyDescent="0.2">
      <c r="BL462" s="2"/>
      <c r="BM462" s="2"/>
    </row>
    <row r="463" spans="3:65" x14ac:dyDescent="0.2">
      <c r="BL463" s="2"/>
      <c r="BM463" s="2"/>
    </row>
    <row r="464" spans="3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  <row r="542" spans="64:65" x14ac:dyDescent="0.2">
      <c r="BL542" s="2"/>
      <c r="BM542" s="2"/>
    </row>
    <row r="543" spans="64:65" x14ac:dyDescent="0.2">
      <c r="BL543" s="2"/>
      <c r="BM543" s="2"/>
    </row>
    <row r="544" spans="64:65" x14ac:dyDescent="0.2">
      <c r="BL544" s="2"/>
      <c r="BM544" s="2"/>
    </row>
    <row r="545" spans="64:65" x14ac:dyDescent="0.2">
      <c r="BL545" s="2"/>
      <c r="BM545" s="2"/>
    </row>
    <row r="546" spans="64:65" x14ac:dyDescent="0.2">
      <c r="BL546" s="2"/>
      <c r="BM546" s="2"/>
    </row>
    <row r="547" spans="64:65" x14ac:dyDescent="0.2">
      <c r="BL547" s="2"/>
      <c r="BM547" s="2"/>
    </row>
    <row r="548" spans="64:65" x14ac:dyDescent="0.2">
      <c r="BL548" s="2"/>
      <c r="BM548" s="2"/>
    </row>
    <row r="549" spans="64:65" x14ac:dyDescent="0.2">
      <c r="BL549" s="2"/>
      <c r="BM549" s="2"/>
    </row>
    <row r="550" spans="64:65" x14ac:dyDescent="0.2">
      <c r="BL550" s="2"/>
      <c r="BM550" s="2"/>
    </row>
    <row r="551" spans="64:65" x14ac:dyDescent="0.2">
      <c r="BL551" s="2"/>
      <c r="BM551" s="2"/>
    </row>
    <row r="552" spans="64:65" x14ac:dyDescent="0.2">
      <c r="BL552" s="2"/>
      <c r="BM552" s="2"/>
    </row>
    <row r="553" spans="64:65" x14ac:dyDescent="0.2">
      <c r="BL553" s="2"/>
      <c r="BM553" s="2"/>
    </row>
    <row r="554" spans="64:65" x14ac:dyDescent="0.2">
      <c r="BL554" s="2"/>
      <c r="BM554" s="2"/>
    </row>
    <row r="555" spans="64:65" x14ac:dyDescent="0.2">
      <c r="BL555" s="2"/>
      <c r="BM555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7C56-7AD1-4EB0-A48D-F39F35C0B3A1}">
  <dimension ref="A1:BO541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59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8" max="8" width="8.5703125" bestFit="1" customWidth="1"/>
    <col min="9" max="9" width="6" bestFit="1" customWidth="1"/>
    <col min="10" max="10" width="7.42578125" bestFit="1" customWidth="1"/>
    <col min="11" max="11" width="4.570312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5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25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60</v>
      </c>
      <c r="B9" s="3" t="s">
        <v>61</v>
      </c>
      <c r="C9" s="2">
        <v>46994</v>
      </c>
      <c r="D9" s="2">
        <v>20.444538000000001</v>
      </c>
      <c r="E9" s="2">
        <v>3.2574280204000003</v>
      </c>
      <c r="F9" s="2">
        <v>960770.61877199984</v>
      </c>
      <c r="G9" s="2">
        <v>153079.57238859232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>SUM(F9,K9,P9,U9,Z9,AE9,AJ9,AO9,AT9,AY9,BD9,BI9)</f>
        <v>960770.61877199984</v>
      </c>
      <c r="BM9" s="2">
        <f>SUM(G9,L9,Q9,V9,AA9,AF9,AK9,AP9,AU9,AZ9,BE9,BJ9)</f>
        <v>153079.57238859232</v>
      </c>
    </row>
    <row r="10" spans="1:67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L10" s="2"/>
      <c r="BM10" s="2"/>
    </row>
    <row r="11" spans="1:67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L11" s="2"/>
      <c r="BM11" s="2"/>
    </row>
    <row r="12" spans="1:67" s="1" customFormat="1" x14ac:dyDescent="0.2">
      <c r="A12" s="20"/>
      <c r="B12" s="23"/>
      <c r="C12" s="21"/>
      <c r="D12" s="22"/>
      <c r="E12" s="22"/>
      <c r="F12" s="24"/>
      <c r="G12" s="25"/>
      <c r="H12" s="21"/>
      <c r="I12" s="22"/>
      <c r="J12" s="22"/>
      <c r="K12" s="24"/>
      <c r="L12" s="25"/>
      <c r="M12" s="21"/>
      <c r="N12" s="22"/>
      <c r="O12" s="22"/>
      <c r="P12" s="24"/>
      <c r="Q12" s="25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L12" s="21"/>
      <c r="BM12" s="21"/>
    </row>
    <row r="13" spans="1:67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L13" s="2"/>
      <c r="BM13" s="2"/>
    </row>
    <row r="14" spans="1:67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L14" s="2"/>
      <c r="BM14" s="2"/>
    </row>
    <row r="15" spans="1:67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L15" s="2"/>
      <c r="BM15" s="2"/>
    </row>
    <row r="16" spans="1:67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L16" s="2"/>
      <c r="BM16" s="2"/>
    </row>
    <row r="17" spans="3:65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L17" s="2"/>
      <c r="BM17" s="2"/>
    </row>
    <row r="18" spans="3:65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L18" s="2"/>
      <c r="BM18" s="2"/>
    </row>
    <row r="19" spans="3:6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L19" s="2"/>
      <c r="BM19" s="2"/>
    </row>
    <row r="20" spans="3:6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L20" s="2"/>
      <c r="BM20" s="2"/>
    </row>
    <row r="21" spans="3:6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L21" s="2"/>
      <c r="BM21" s="2"/>
    </row>
    <row r="22" spans="3:6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L22" s="2"/>
      <c r="BM22" s="2"/>
    </row>
    <row r="23" spans="3:65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L23" s="2"/>
      <c r="BM23" s="2"/>
    </row>
    <row r="24" spans="3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3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3:65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L26" s="2"/>
      <c r="BM26" s="2"/>
    </row>
    <row r="27" spans="3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3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3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3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3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3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BL441" s="2"/>
      <c r="BM441" s="2"/>
    </row>
    <row r="442" spans="3:65" x14ac:dyDescent="0.2">
      <c r="BL442" s="2"/>
      <c r="BM442" s="2"/>
    </row>
    <row r="443" spans="3:65" x14ac:dyDescent="0.2">
      <c r="BL443" s="2"/>
      <c r="BM443" s="2"/>
    </row>
    <row r="444" spans="3:65" x14ac:dyDescent="0.2">
      <c r="BL444" s="2"/>
      <c r="BM444" s="2"/>
    </row>
    <row r="445" spans="3:65" x14ac:dyDescent="0.2">
      <c r="BL445" s="2"/>
      <c r="BM445" s="2"/>
    </row>
    <row r="446" spans="3:65" x14ac:dyDescent="0.2">
      <c r="BL446" s="2"/>
      <c r="BM446" s="2"/>
    </row>
    <row r="447" spans="3:65" x14ac:dyDescent="0.2">
      <c r="BL447" s="2"/>
      <c r="BM447" s="2"/>
    </row>
    <row r="448" spans="3:65" x14ac:dyDescent="0.2">
      <c r="BL448" s="2"/>
      <c r="BM448" s="2"/>
    </row>
    <row r="449" spans="64:65" x14ac:dyDescent="0.2">
      <c r="BL449" s="2"/>
      <c r="BM449" s="2"/>
    </row>
    <row r="450" spans="64:65" x14ac:dyDescent="0.2">
      <c r="BL450" s="2"/>
      <c r="BM450" s="2"/>
    </row>
    <row r="451" spans="64:65" x14ac:dyDescent="0.2">
      <c r="BL451" s="2"/>
      <c r="BM451" s="2"/>
    </row>
    <row r="452" spans="64:65" x14ac:dyDescent="0.2">
      <c r="BL452" s="2"/>
      <c r="BM452" s="2"/>
    </row>
    <row r="453" spans="64:65" x14ac:dyDescent="0.2">
      <c r="BL453" s="2"/>
      <c r="BM453" s="2"/>
    </row>
    <row r="454" spans="64:65" x14ac:dyDescent="0.2">
      <c r="BL454" s="2"/>
      <c r="BM454" s="2"/>
    </row>
    <row r="455" spans="64:65" x14ac:dyDescent="0.2">
      <c r="BL455" s="2"/>
      <c r="BM455" s="2"/>
    </row>
    <row r="456" spans="64:65" x14ac:dyDescent="0.2">
      <c r="BL456" s="2"/>
      <c r="BM456" s="2"/>
    </row>
    <row r="457" spans="64:65" x14ac:dyDescent="0.2">
      <c r="BL457" s="2"/>
      <c r="BM457" s="2"/>
    </row>
    <row r="458" spans="64:65" x14ac:dyDescent="0.2">
      <c r="BL458" s="2"/>
      <c r="BM458" s="2"/>
    </row>
    <row r="459" spans="64:65" x14ac:dyDescent="0.2">
      <c r="BL459" s="2"/>
      <c r="BM459" s="2"/>
    </row>
    <row r="460" spans="64:65" x14ac:dyDescent="0.2">
      <c r="BL460" s="2"/>
      <c r="BM460" s="2"/>
    </row>
    <row r="461" spans="64:65" x14ac:dyDescent="0.2">
      <c r="BL461" s="2"/>
      <c r="BM461" s="2"/>
    </row>
    <row r="462" spans="64:65" x14ac:dyDescent="0.2">
      <c r="BL462" s="2"/>
      <c r="BM462" s="2"/>
    </row>
    <row r="463" spans="64:65" x14ac:dyDescent="0.2">
      <c r="BL463" s="2"/>
      <c r="BM463" s="2"/>
    </row>
    <row r="464" spans="64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C44B-EADF-459C-8768-A731E69DF4E5}">
  <dimension ref="A1:BO543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60.28515625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8" max="8" width="8.5703125" bestFit="1" customWidth="1"/>
    <col min="9" max="9" width="6" bestFit="1" customWidth="1"/>
    <col min="10" max="10" width="7.42578125" bestFit="1" customWidth="1"/>
    <col min="11" max="11" width="4.570312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5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26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62</v>
      </c>
      <c r="B9" s="3" t="s">
        <v>63</v>
      </c>
      <c r="C9" s="2">
        <v>44151</v>
      </c>
      <c r="D9" s="2">
        <v>20.253419000000001</v>
      </c>
      <c r="E9" s="2">
        <v>3.2269770320999998</v>
      </c>
      <c r="F9" s="2">
        <v>894208.70226899977</v>
      </c>
      <c r="G9" s="2">
        <v>142474.26294577471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 t="shared" ref="BL9:BM11" si="0">SUM(F9,K9,P9,U9,Z9,AE9,AJ9,AO9,AT9,AY9,BD9,BI9)</f>
        <v>894208.70226899977</v>
      </c>
      <c r="BM9" s="2">
        <f t="shared" si="0"/>
        <v>142474.26294577471</v>
      </c>
    </row>
    <row r="10" spans="1:67" x14ac:dyDescent="0.2">
      <c r="A10" s="3" t="s">
        <v>64</v>
      </c>
      <c r="B10" s="3" t="s">
        <v>65</v>
      </c>
      <c r="C10" s="2">
        <v>23371</v>
      </c>
      <c r="D10" s="2">
        <v>18.791924000000002</v>
      </c>
      <c r="E10" s="2">
        <v>2.9941170494999994</v>
      </c>
      <c r="F10" s="2">
        <v>439186.05580400006</v>
      </c>
      <c r="G10" s="2">
        <v>69975.50956277021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>
        <v>0</v>
      </c>
      <c r="BJ10" s="2">
        <v>0</v>
      </c>
      <c r="BL10" s="2">
        <f t="shared" si="0"/>
        <v>439186.05580400006</v>
      </c>
      <c r="BM10" s="2">
        <f t="shared" si="0"/>
        <v>69975.50956277021</v>
      </c>
    </row>
    <row r="11" spans="1:67" x14ac:dyDescent="0.2">
      <c r="A11" s="3" t="s">
        <v>66</v>
      </c>
      <c r="B11" s="3" t="s">
        <v>67</v>
      </c>
      <c r="C11" s="2">
        <v>23074</v>
      </c>
      <c r="D11" s="2">
        <v>20.033065000000001</v>
      </c>
      <c r="E11" s="2">
        <v>3.191868031699999</v>
      </c>
      <c r="F11" s="2">
        <v>462242.94181000011</v>
      </c>
      <c r="G11" s="2">
        <v>73649.162962915027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>
        <v>0</v>
      </c>
      <c r="BJ11" s="2">
        <v>0</v>
      </c>
      <c r="BL11" s="2">
        <f t="shared" si="0"/>
        <v>462242.94181000011</v>
      </c>
      <c r="BM11" s="2">
        <f t="shared" si="0"/>
        <v>73649.162962915027</v>
      </c>
    </row>
    <row r="12" spans="1:67" x14ac:dyDescent="0.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L12" s="2"/>
      <c r="BM12" s="2"/>
    </row>
    <row r="13" spans="1:67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L13" s="2"/>
      <c r="BM13" s="2"/>
    </row>
    <row r="14" spans="1:67" s="1" customFormat="1" x14ac:dyDescent="0.2">
      <c r="A14" s="20"/>
      <c r="B14" s="23"/>
      <c r="C14" s="21"/>
      <c r="D14" s="22"/>
      <c r="E14" s="22"/>
      <c r="F14" s="24"/>
      <c r="G14" s="25"/>
      <c r="H14" s="21"/>
      <c r="I14" s="22"/>
      <c r="J14" s="22"/>
      <c r="K14" s="24"/>
      <c r="L14" s="25"/>
      <c r="M14" s="21"/>
      <c r="N14" s="22"/>
      <c r="O14" s="22"/>
      <c r="P14" s="24"/>
      <c r="Q14" s="25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L14" s="21"/>
      <c r="BM14" s="21"/>
    </row>
    <row r="15" spans="1:67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L15" s="2"/>
      <c r="BM15" s="2"/>
    </row>
    <row r="16" spans="1:67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L16" s="2"/>
      <c r="BM16" s="2"/>
    </row>
    <row r="17" spans="3:65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L17" s="2"/>
      <c r="BM17" s="2"/>
    </row>
    <row r="18" spans="3:65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L18" s="2"/>
      <c r="BM18" s="2"/>
    </row>
    <row r="19" spans="3:6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L19" s="2"/>
      <c r="BM19" s="2"/>
    </row>
    <row r="20" spans="3:6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L20" s="2"/>
      <c r="BM20" s="2"/>
    </row>
    <row r="21" spans="3:6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L21" s="2"/>
      <c r="BM21" s="2"/>
    </row>
    <row r="22" spans="3:6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L22" s="2"/>
      <c r="BM22" s="2"/>
    </row>
    <row r="23" spans="3:65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L23" s="2"/>
      <c r="BM23" s="2"/>
    </row>
    <row r="24" spans="3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3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3:65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L26" s="2"/>
      <c r="BM26" s="2"/>
    </row>
    <row r="27" spans="3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3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3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3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3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3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L441" s="2"/>
      <c r="BM441" s="2"/>
    </row>
    <row r="442" spans="3:65" x14ac:dyDescent="0.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L442" s="2"/>
      <c r="BM442" s="2"/>
    </row>
    <row r="443" spans="3:65" x14ac:dyDescent="0.2">
      <c r="BL443" s="2"/>
      <c r="BM443" s="2"/>
    </row>
    <row r="444" spans="3:65" x14ac:dyDescent="0.2">
      <c r="BL444" s="2"/>
      <c r="BM444" s="2"/>
    </row>
    <row r="445" spans="3:65" x14ac:dyDescent="0.2">
      <c r="BL445" s="2"/>
      <c r="BM445" s="2"/>
    </row>
    <row r="446" spans="3:65" x14ac:dyDescent="0.2">
      <c r="BL446" s="2"/>
      <c r="BM446" s="2"/>
    </row>
    <row r="447" spans="3:65" x14ac:dyDescent="0.2">
      <c r="BL447" s="2"/>
      <c r="BM447" s="2"/>
    </row>
    <row r="448" spans="3:65" x14ac:dyDescent="0.2">
      <c r="BL448" s="2"/>
      <c r="BM448" s="2"/>
    </row>
    <row r="449" spans="64:65" x14ac:dyDescent="0.2">
      <c r="BL449" s="2"/>
      <c r="BM449" s="2"/>
    </row>
    <row r="450" spans="64:65" x14ac:dyDescent="0.2">
      <c r="BL450" s="2"/>
      <c r="BM450" s="2"/>
    </row>
    <row r="451" spans="64:65" x14ac:dyDescent="0.2">
      <c r="BL451" s="2"/>
      <c r="BM451" s="2"/>
    </row>
    <row r="452" spans="64:65" x14ac:dyDescent="0.2">
      <c r="BL452" s="2"/>
      <c r="BM452" s="2"/>
    </row>
    <row r="453" spans="64:65" x14ac:dyDescent="0.2">
      <c r="BL453" s="2"/>
      <c r="BM453" s="2"/>
    </row>
    <row r="454" spans="64:65" x14ac:dyDescent="0.2">
      <c r="BL454" s="2"/>
      <c r="BM454" s="2"/>
    </row>
    <row r="455" spans="64:65" x14ac:dyDescent="0.2">
      <c r="BL455" s="2"/>
      <c r="BM455" s="2"/>
    </row>
    <row r="456" spans="64:65" x14ac:dyDescent="0.2">
      <c r="BL456" s="2"/>
      <c r="BM456" s="2"/>
    </row>
    <row r="457" spans="64:65" x14ac:dyDescent="0.2">
      <c r="BL457" s="2"/>
      <c r="BM457" s="2"/>
    </row>
    <row r="458" spans="64:65" x14ac:dyDescent="0.2">
      <c r="BL458" s="2"/>
      <c r="BM458" s="2"/>
    </row>
    <row r="459" spans="64:65" x14ac:dyDescent="0.2">
      <c r="BL459" s="2"/>
      <c r="BM459" s="2"/>
    </row>
    <row r="460" spans="64:65" x14ac:dyDescent="0.2">
      <c r="BL460" s="2"/>
      <c r="BM460" s="2"/>
    </row>
    <row r="461" spans="64:65" x14ac:dyDescent="0.2">
      <c r="BL461" s="2"/>
      <c r="BM461" s="2"/>
    </row>
    <row r="462" spans="64:65" x14ac:dyDescent="0.2">
      <c r="BL462" s="2"/>
      <c r="BM462" s="2"/>
    </row>
    <row r="463" spans="64:65" x14ac:dyDescent="0.2">
      <c r="BL463" s="2"/>
      <c r="BM463" s="2"/>
    </row>
    <row r="464" spans="64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  <row r="542" spans="64:65" x14ac:dyDescent="0.2">
      <c r="BL542" s="2"/>
      <c r="BM542" s="2"/>
    </row>
    <row r="543" spans="64:65" x14ac:dyDescent="0.2">
      <c r="BL543" s="2"/>
      <c r="BM543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AE6A-687A-4319-8FC8-3C080217EE15}">
  <dimension ref="A1:BO542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48.42578125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8" max="8" width="8.5703125" bestFit="1" customWidth="1"/>
    <col min="9" max="9" width="6" bestFit="1" customWidth="1"/>
    <col min="10" max="10" width="7.42578125" bestFit="1" customWidth="1"/>
    <col min="11" max="11" width="4.570312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5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27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68</v>
      </c>
      <c r="B9" s="3" t="s">
        <v>69</v>
      </c>
      <c r="C9" s="2">
        <v>51051</v>
      </c>
      <c r="D9" s="2">
        <v>14.509954999999996</v>
      </c>
      <c r="E9" s="2">
        <v>2.3118709746000001</v>
      </c>
      <c r="F9" s="2">
        <v>740747.71270500007</v>
      </c>
      <c r="G9" s="2">
        <v>118023.32512378642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>SUM(F9,K9,P9,U9,Z9,AE9,AJ9,AO9,AT9,AY9,BD9,BI9)</f>
        <v>740747.71270500007</v>
      </c>
      <c r="BM9" s="2">
        <f>SUM(G9,L9,Q9,V9,AA9,AF9,AK9,AP9,AU9,AZ9,BE9,BJ9)</f>
        <v>118023.32512378642</v>
      </c>
    </row>
    <row r="10" spans="1:67" x14ac:dyDescent="0.2">
      <c r="A10" s="3" t="s">
        <v>70</v>
      </c>
      <c r="B10" s="3" t="s">
        <v>71</v>
      </c>
      <c r="C10" s="2">
        <v>24960</v>
      </c>
      <c r="D10" s="2">
        <v>12.399134</v>
      </c>
      <c r="E10" s="2">
        <v>1.9755538872999998</v>
      </c>
      <c r="F10" s="2">
        <v>309482.38463999995</v>
      </c>
      <c r="G10" s="2">
        <v>49309.82502675349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>
        <v>0</v>
      </c>
      <c r="BJ10" s="2">
        <v>0</v>
      </c>
      <c r="BL10" s="2">
        <f>SUM(F10,K10,P10,U10,Z10,AE10,AJ10,AO10,AT10,AY10,BD10,BI10)</f>
        <v>309482.38463999995</v>
      </c>
      <c r="BM10" s="2">
        <f>SUM(G10,L10,Q10,V10,AA10,AF10,AK10,AP10,AU10,AZ10,BE10,BJ10)</f>
        <v>49309.82502675349</v>
      </c>
    </row>
    <row r="11" spans="1:67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L11" s="2"/>
      <c r="BM11" s="2"/>
    </row>
    <row r="12" spans="1:67" x14ac:dyDescent="0.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L12" s="2"/>
      <c r="BM12" s="2"/>
    </row>
    <row r="13" spans="1:67" s="1" customFormat="1" x14ac:dyDescent="0.2">
      <c r="A13" s="20"/>
      <c r="B13" s="23"/>
      <c r="C13" s="21"/>
      <c r="D13" s="22"/>
      <c r="E13" s="22"/>
      <c r="F13" s="24"/>
      <c r="G13" s="25"/>
      <c r="H13" s="21"/>
      <c r="I13" s="22"/>
      <c r="J13" s="22"/>
      <c r="K13" s="24"/>
      <c r="L13" s="25"/>
      <c r="M13" s="21"/>
      <c r="N13" s="22"/>
      <c r="O13" s="22"/>
      <c r="P13" s="24"/>
      <c r="Q13" s="25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L13" s="21"/>
      <c r="BM13" s="21"/>
    </row>
    <row r="14" spans="1:67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L14" s="2"/>
      <c r="BM14" s="2"/>
    </row>
    <row r="15" spans="1:67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L15" s="2"/>
      <c r="BM15" s="2"/>
    </row>
    <row r="16" spans="1:67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L16" s="2"/>
      <c r="BM16" s="2"/>
    </row>
    <row r="17" spans="3:65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L17" s="2"/>
      <c r="BM17" s="2"/>
    </row>
    <row r="18" spans="3:65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L18" s="2"/>
      <c r="BM18" s="2"/>
    </row>
    <row r="19" spans="3:6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L19" s="2"/>
      <c r="BM19" s="2"/>
    </row>
    <row r="20" spans="3:6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L20" s="2"/>
      <c r="BM20" s="2"/>
    </row>
    <row r="21" spans="3:6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L21" s="2"/>
      <c r="BM21" s="2"/>
    </row>
    <row r="22" spans="3:6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L22" s="2"/>
      <c r="BM22" s="2"/>
    </row>
    <row r="23" spans="3:65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L23" s="2"/>
      <c r="BM23" s="2"/>
    </row>
    <row r="24" spans="3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3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3:65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L26" s="2"/>
      <c r="BM26" s="2"/>
    </row>
    <row r="27" spans="3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3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3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3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3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3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L441" s="2"/>
      <c r="BM441" s="2"/>
    </row>
    <row r="442" spans="3:65" x14ac:dyDescent="0.2">
      <c r="BL442" s="2"/>
      <c r="BM442" s="2"/>
    </row>
    <row r="443" spans="3:65" x14ac:dyDescent="0.2">
      <c r="BL443" s="2"/>
      <c r="BM443" s="2"/>
    </row>
    <row r="444" spans="3:65" x14ac:dyDescent="0.2">
      <c r="BL444" s="2"/>
      <c r="BM444" s="2"/>
    </row>
    <row r="445" spans="3:65" x14ac:dyDescent="0.2">
      <c r="BL445" s="2"/>
      <c r="BM445" s="2"/>
    </row>
    <row r="446" spans="3:65" x14ac:dyDescent="0.2">
      <c r="BL446" s="2"/>
      <c r="BM446" s="2"/>
    </row>
    <row r="447" spans="3:65" x14ac:dyDescent="0.2">
      <c r="BL447" s="2"/>
      <c r="BM447" s="2"/>
    </row>
    <row r="448" spans="3:65" x14ac:dyDescent="0.2">
      <c r="BL448" s="2"/>
      <c r="BM448" s="2"/>
    </row>
    <row r="449" spans="64:65" x14ac:dyDescent="0.2">
      <c r="BL449" s="2"/>
      <c r="BM449" s="2"/>
    </row>
    <row r="450" spans="64:65" x14ac:dyDescent="0.2">
      <c r="BL450" s="2"/>
      <c r="BM450" s="2"/>
    </row>
    <row r="451" spans="64:65" x14ac:dyDescent="0.2">
      <c r="BL451" s="2"/>
      <c r="BM451" s="2"/>
    </row>
    <row r="452" spans="64:65" x14ac:dyDescent="0.2">
      <c r="BL452" s="2"/>
      <c r="BM452" s="2"/>
    </row>
    <row r="453" spans="64:65" x14ac:dyDescent="0.2">
      <c r="BL453" s="2"/>
      <c r="BM453" s="2"/>
    </row>
    <row r="454" spans="64:65" x14ac:dyDescent="0.2">
      <c r="BL454" s="2"/>
      <c r="BM454" s="2"/>
    </row>
    <row r="455" spans="64:65" x14ac:dyDescent="0.2">
      <c r="BL455" s="2"/>
      <c r="BM455" s="2"/>
    </row>
    <row r="456" spans="64:65" x14ac:dyDescent="0.2">
      <c r="BL456" s="2"/>
      <c r="BM456" s="2"/>
    </row>
    <row r="457" spans="64:65" x14ac:dyDescent="0.2">
      <c r="BL457" s="2"/>
      <c r="BM457" s="2"/>
    </row>
    <row r="458" spans="64:65" x14ac:dyDescent="0.2">
      <c r="BL458" s="2"/>
      <c r="BM458" s="2"/>
    </row>
    <row r="459" spans="64:65" x14ac:dyDescent="0.2">
      <c r="BL459" s="2"/>
      <c r="BM459" s="2"/>
    </row>
    <row r="460" spans="64:65" x14ac:dyDescent="0.2">
      <c r="BL460" s="2"/>
      <c r="BM460" s="2"/>
    </row>
    <row r="461" spans="64:65" x14ac:dyDescent="0.2">
      <c r="BL461" s="2"/>
      <c r="BM461" s="2"/>
    </row>
    <row r="462" spans="64:65" x14ac:dyDescent="0.2">
      <c r="BL462" s="2"/>
      <c r="BM462" s="2"/>
    </row>
    <row r="463" spans="64:65" x14ac:dyDescent="0.2">
      <c r="BL463" s="2"/>
      <c r="BM463" s="2"/>
    </row>
    <row r="464" spans="64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  <row r="542" spans="64:65" x14ac:dyDescent="0.2">
      <c r="BL542" s="2"/>
      <c r="BM542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D7C1-3494-442E-98BD-8131DEBD5A0B}">
  <dimension ref="A1:BO541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52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8" max="8" width="8.5703125" bestFit="1" customWidth="1"/>
    <col min="9" max="9" width="6" bestFit="1" customWidth="1"/>
    <col min="10" max="10" width="7.42578125" bestFit="1" customWidth="1"/>
    <col min="11" max="11" width="4.570312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4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25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72</v>
      </c>
      <c r="B9" s="3" t="s">
        <v>73</v>
      </c>
      <c r="C9" s="2">
        <v>24709</v>
      </c>
      <c r="D9" s="2">
        <v>13.297212999999999</v>
      </c>
      <c r="E9" s="2">
        <v>2.1186448046999997</v>
      </c>
      <c r="F9" s="2">
        <v>328560.83601700002</v>
      </c>
      <c r="G9" s="2">
        <v>52349.59448011229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>SUM(F9,K9,P9,U9,Z9,AE9,AJ9,AO9,AT9,AY9,BD9,BI9)</f>
        <v>328560.83601700002</v>
      </c>
      <c r="BM9" s="2">
        <f>SUM(G9,L9,Q9,V9,AA9,AF9,AK9,AP9,AU9,AZ9,BE9,BJ9)</f>
        <v>52349.59448011229</v>
      </c>
    </row>
    <row r="10" spans="1:67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L10" s="2"/>
      <c r="BM10" s="2"/>
    </row>
    <row r="11" spans="1:67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L11" s="2"/>
      <c r="BM11" s="2"/>
    </row>
    <row r="12" spans="1:67" s="1" customFormat="1" x14ac:dyDescent="0.2">
      <c r="A12" s="20"/>
      <c r="B12" s="23"/>
      <c r="C12" s="21"/>
      <c r="D12" s="22"/>
      <c r="E12" s="22"/>
      <c r="F12" s="24"/>
      <c r="G12" s="25"/>
      <c r="H12" s="21"/>
      <c r="I12" s="22"/>
      <c r="J12" s="22"/>
      <c r="K12" s="24"/>
      <c r="L12" s="25"/>
      <c r="M12" s="21"/>
      <c r="N12" s="22"/>
      <c r="O12" s="22"/>
      <c r="P12" s="24"/>
      <c r="Q12" s="25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L12" s="21"/>
      <c r="BM12" s="21"/>
    </row>
    <row r="13" spans="1:67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L13" s="2"/>
      <c r="BM13" s="2"/>
    </row>
    <row r="14" spans="1:67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L14" s="2"/>
      <c r="BM14" s="2"/>
    </row>
    <row r="15" spans="1:67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L15" s="2"/>
      <c r="BM15" s="2"/>
    </row>
    <row r="16" spans="1:67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L16" s="2"/>
      <c r="BM16" s="2"/>
    </row>
    <row r="17" spans="3:65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L17" s="2"/>
      <c r="BM17" s="2"/>
    </row>
    <row r="18" spans="3:65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L18" s="2"/>
      <c r="BM18" s="2"/>
    </row>
    <row r="19" spans="3:6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L19" s="2"/>
      <c r="BM19" s="2"/>
    </row>
    <row r="20" spans="3:6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L20" s="2"/>
      <c r="BM20" s="2"/>
    </row>
    <row r="21" spans="3:6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L21" s="2"/>
      <c r="BM21" s="2"/>
    </row>
    <row r="22" spans="3:6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L22" s="2"/>
      <c r="BM22" s="2"/>
    </row>
    <row r="23" spans="3:65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L23" s="2"/>
      <c r="BM23" s="2"/>
    </row>
    <row r="24" spans="3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3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3:65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L26" s="2"/>
      <c r="BM26" s="2"/>
    </row>
    <row r="27" spans="3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3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3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3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3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3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BL441" s="2"/>
      <c r="BM441" s="2"/>
    </row>
    <row r="442" spans="3:65" x14ac:dyDescent="0.2">
      <c r="BL442" s="2"/>
      <c r="BM442" s="2"/>
    </row>
    <row r="443" spans="3:65" x14ac:dyDescent="0.2">
      <c r="BL443" s="2"/>
      <c r="BM443" s="2"/>
    </row>
    <row r="444" spans="3:65" x14ac:dyDescent="0.2">
      <c r="BL444" s="2"/>
      <c r="BM444" s="2"/>
    </row>
    <row r="445" spans="3:65" x14ac:dyDescent="0.2">
      <c r="BL445" s="2"/>
      <c r="BM445" s="2"/>
    </row>
    <row r="446" spans="3:65" x14ac:dyDescent="0.2">
      <c r="BL446" s="2"/>
      <c r="BM446" s="2"/>
    </row>
    <row r="447" spans="3:65" x14ac:dyDescent="0.2">
      <c r="BL447" s="2"/>
      <c r="BM447" s="2"/>
    </row>
    <row r="448" spans="3:65" x14ac:dyDescent="0.2">
      <c r="BL448" s="2"/>
      <c r="BM448" s="2"/>
    </row>
    <row r="449" spans="64:65" x14ac:dyDescent="0.2">
      <c r="BL449" s="2"/>
      <c r="BM449" s="2"/>
    </row>
    <row r="450" spans="64:65" x14ac:dyDescent="0.2">
      <c r="BL450" s="2"/>
      <c r="BM450" s="2"/>
    </row>
    <row r="451" spans="64:65" x14ac:dyDescent="0.2">
      <c r="BL451" s="2"/>
      <c r="BM451" s="2"/>
    </row>
    <row r="452" spans="64:65" x14ac:dyDescent="0.2">
      <c r="BL452" s="2"/>
      <c r="BM452" s="2"/>
    </row>
    <row r="453" spans="64:65" x14ac:dyDescent="0.2">
      <c r="BL453" s="2"/>
      <c r="BM453" s="2"/>
    </row>
    <row r="454" spans="64:65" x14ac:dyDescent="0.2">
      <c r="BL454" s="2"/>
      <c r="BM454" s="2"/>
    </row>
    <row r="455" spans="64:65" x14ac:dyDescent="0.2">
      <c r="BL455" s="2"/>
      <c r="BM455" s="2"/>
    </row>
    <row r="456" spans="64:65" x14ac:dyDescent="0.2">
      <c r="BL456" s="2"/>
      <c r="BM456" s="2"/>
    </row>
    <row r="457" spans="64:65" x14ac:dyDescent="0.2">
      <c r="BL457" s="2"/>
      <c r="BM457" s="2"/>
    </row>
    <row r="458" spans="64:65" x14ac:dyDescent="0.2">
      <c r="BL458" s="2"/>
      <c r="BM458" s="2"/>
    </row>
    <row r="459" spans="64:65" x14ac:dyDescent="0.2">
      <c r="BL459" s="2"/>
      <c r="BM459" s="2"/>
    </row>
    <row r="460" spans="64:65" x14ac:dyDescent="0.2">
      <c r="BL460" s="2"/>
      <c r="BM460" s="2"/>
    </row>
    <row r="461" spans="64:65" x14ac:dyDescent="0.2">
      <c r="BL461" s="2"/>
      <c r="BM461" s="2"/>
    </row>
    <row r="462" spans="64:65" x14ac:dyDescent="0.2">
      <c r="BL462" s="2"/>
      <c r="BM462" s="2"/>
    </row>
    <row r="463" spans="64:65" x14ac:dyDescent="0.2">
      <c r="BL463" s="2"/>
      <c r="BM463" s="2"/>
    </row>
    <row r="464" spans="64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309C-2265-4363-AAF6-D3E36816D3C1}">
  <dimension ref="A1:BO544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58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9" max="9" width="6" bestFit="1" customWidth="1"/>
    <col min="10" max="10" width="7.42578125" bestFit="1" customWidth="1"/>
    <col min="11" max="11" width="11.710937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4" width="11.7109375" bestFit="1" customWidth="1"/>
    <col min="65" max="65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28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74</v>
      </c>
      <c r="B9" s="3" t="s">
        <v>75</v>
      </c>
      <c r="C9" s="2">
        <v>25502</v>
      </c>
      <c r="D9" s="2">
        <v>17.509916999999998</v>
      </c>
      <c r="E9" s="2">
        <v>2.7898548878999998</v>
      </c>
      <c r="F9" s="2">
        <v>446537.90333399997</v>
      </c>
      <c r="G9" s="2">
        <v>71146.8793509065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 t="shared" ref="BL9:BM12" si="0">SUM(F9,K9,P9,U9,Z9,AE9,AJ9,AO9,AT9,AY9,BD9,BI9)</f>
        <v>446537.90333399997</v>
      </c>
      <c r="BM9" s="2">
        <f t="shared" si="0"/>
        <v>71146.8793509065</v>
      </c>
    </row>
    <row r="10" spans="1:67" x14ac:dyDescent="0.2">
      <c r="A10" s="3" t="s">
        <v>76</v>
      </c>
      <c r="B10" s="3" t="s">
        <v>77</v>
      </c>
      <c r="C10" s="2">
        <v>4352</v>
      </c>
      <c r="D10" s="2">
        <v>18.358611000000003</v>
      </c>
      <c r="E10" s="2">
        <v>2.9250772938000003</v>
      </c>
      <c r="F10" s="2">
        <v>79896.675071999998</v>
      </c>
      <c r="G10" s="2">
        <v>12729.9363826554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>
        <v>0</v>
      </c>
      <c r="BJ10" s="2">
        <v>0</v>
      </c>
      <c r="BL10" s="2">
        <f t="shared" si="0"/>
        <v>79896.675071999998</v>
      </c>
      <c r="BM10" s="2">
        <f t="shared" si="0"/>
        <v>12729.9363826554</v>
      </c>
    </row>
    <row r="11" spans="1:67" x14ac:dyDescent="0.2">
      <c r="A11" s="3" t="s">
        <v>78</v>
      </c>
      <c r="B11" s="3" t="s">
        <v>79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63281</v>
      </c>
      <c r="I11" s="2">
        <v>14.109731999999999</v>
      </c>
      <c r="J11" s="2">
        <v>2.2937143996999998</v>
      </c>
      <c r="K11" s="2">
        <v>892877.9506920001</v>
      </c>
      <c r="L11" s="2">
        <v>145148.5409292749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>
        <v>0</v>
      </c>
      <c r="BJ11" s="2">
        <v>0</v>
      </c>
      <c r="BL11" s="2">
        <f t="shared" si="0"/>
        <v>892877.9506920001</v>
      </c>
      <c r="BM11" s="2">
        <f t="shared" si="0"/>
        <v>145148.5409292749</v>
      </c>
    </row>
    <row r="12" spans="1:67" x14ac:dyDescent="0.2">
      <c r="A12" s="3" t="s">
        <v>80</v>
      </c>
      <c r="B12" s="3" t="s">
        <v>81</v>
      </c>
      <c r="C12" s="2">
        <v>47661</v>
      </c>
      <c r="D12" s="2">
        <v>14.004961</v>
      </c>
      <c r="E12" s="2">
        <v>2.231410286</v>
      </c>
      <c r="F12" s="2">
        <v>667490.44622099993</v>
      </c>
      <c r="G12" s="2">
        <v>106351.24564027642</v>
      </c>
      <c r="H12" s="2">
        <v>88689</v>
      </c>
      <c r="I12" s="2">
        <v>14.098052999999998</v>
      </c>
      <c r="J12" s="2">
        <v>2.2918158314000006</v>
      </c>
      <c r="K12" s="2">
        <v>1250342.222517</v>
      </c>
      <c r="L12" s="2">
        <v>203258.85427000865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>
        <v>0</v>
      </c>
      <c r="BJ12" s="2">
        <v>0</v>
      </c>
      <c r="BL12" s="2">
        <f t="shared" si="0"/>
        <v>1917832.6687380001</v>
      </c>
      <c r="BM12" s="2">
        <f t="shared" si="0"/>
        <v>309610.09991028509</v>
      </c>
    </row>
    <row r="13" spans="1:67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L13" s="2"/>
      <c r="BM13" s="2"/>
    </row>
    <row r="14" spans="1:67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L14" s="2"/>
      <c r="BM14" s="2"/>
    </row>
    <row r="15" spans="1:67" s="1" customFormat="1" x14ac:dyDescent="0.2">
      <c r="A15" s="20"/>
      <c r="B15" s="23"/>
      <c r="C15" s="21"/>
      <c r="D15" s="22"/>
      <c r="E15" s="22"/>
      <c r="F15" s="24"/>
      <c r="G15" s="25"/>
      <c r="H15" s="21"/>
      <c r="I15" s="22"/>
      <c r="J15" s="22"/>
      <c r="K15" s="24"/>
      <c r="L15" s="25"/>
      <c r="M15" s="21"/>
      <c r="N15" s="22"/>
      <c r="O15" s="22"/>
      <c r="P15" s="24"/>
      <c r="Q15" s="25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L15" s="21"/>
      <c r="BM15" s="21"/>
    </row>
    <row r="16" spans="1:67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L16" s="2"/>
      <c r="BM16" s="2"/>
    </row>
    <row r="17" spans="3:65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L17" s="2"/>
      <c r="BM17" s="2"/>
    </row>
    <row r="18" spans="3:65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L18" s="2"/>
      <c r="BM18" s="2"/>
    </row>
    <row r="19" spans="3:6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L19" s="2"/>
      <c r="BM19" s="2"/>
    </row>
    <row r="20" spans="3:6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L20" s="2"/>
      <c r="BM20" s="2"/>
    </row>
    <row r="21" spans="3:6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L21" s="2"/>
      <c r="BM21" s="2"/>
    </row>
    <row r="22" spans="3:6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L22" s="2"/>
      <c r="BM22" s="2"/>
    </row>
    <row r="23" spans="3:65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L23" s="2"/>
      <c r="BM23" s="2"/>
    </row>
    <row r="24" spans="3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3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3:65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L26" s="2"/>
      <c r="BM26" s="2"/>
    </row>
    <row r="27" spans="3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3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3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3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3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3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L441" s="2"/>
      <c r="BM441" s="2"/>
    </row>
    <row r="442" spans="3:65" x14ac:dyDescent="0.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L442" s="2"/>
      <c r="BM442" s="2"/>
    </row>
    <row r="443" spans="3:65" x14ac:dyDescent="0.2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L443" s="2"/>
      <c r="BM443" s="2"/>
    </row>
    <row r="444" spans="3:65" x14ac:dyDescent="0.2">
      <c r="BL444" s="2"/>
      <c r="BM444" s="2"/>
    </row>
    <row r="445" spans="3:65" x14ac:dyDescent="0.2">
      <c r="BL445" s="2"/>
      <c r="BM445" s="2"/>
    </row>
    <row r="446" spans="3:65" x14ac:dyDescent="0.2">
      <c r="BL446" s="2"/>
      <c r="BM446" s="2"/>
    </row>
    <row r="447" spans="3:65" x14ac:dyDescent="0.2">
      <c r="BL447" s="2"/>
      <c r="BM447" s="2"/>
    </row>
    <row r="448" spans="3:65" x14ac:dyDescent="0.2">
      <c r="BL448" s="2"/>
      <c r="BM448" s="2"/>
    </row>
    <row r="449" spans="64:65" x14ac:dyDescent="0.2">
      <c r="BL449" s="2"/>
      <c r="BM449" s="2"/>
    </row>
    <row r="450" spans="64:65" x14ac:dyDescent="0.2">
      <c r="BL450" s="2"/>
      <c r="BM450" s="2"/>
    </row>
    <row r="451" spans="64:65" x14ac:dyDescent="0.2">
      <c r="BL451" s="2"/>
      <c r="BM451" s="2"/>
    </row>
    <row r="452" spans="64:65" x14ac:dyDescent="0.2">
      <c r="BL452" s="2"/>
      <c r="BM452" s="2"/>
    </row>
    <row r="453" spans="64:65" x14ac:dyDescent="0.2">
      <c r="BL453" s="2"/>
      <c r="BM453" s="2"/>
    </row>
    <row r="454" spans="64:65" x14ac:dyDescent="0.2">
      <c r="BL454" s="2"/>
      <c r="BM454" s="2"/>
    </row>
    <row r="455" spans="64:65" x14ac:dyDescent="0.2">
      <c r="BL455" s="2"/>
      <c r="BM455" s="2"/>
    </row>
    <row r="456" spans="64:65" x14ac:dyDescent="0.2">
      <c r="BL456" s="2"/>
      <c r="BM456" s="2"/>
    </row>
    <row r="457" spans="64:65" x14ac:dyDescent="0.2">
      <c r="BL457" s="2"/>
      <c r="BM457" s="2"/>
    </row>
    <row r="458" spans="64:65" x14ac:dyDescent="0.2">
      <c r="BL458" s="2"/>
      <c r="BM458" s="2"/>
    </row>
    <row r="459" spans="64:65" x14ac:dyDescent="0.2">
      <c r="BL459" s="2"/>
      <c r="BM459" s="2"/>
    </row>
    <row r="460" spans="64:65" x14ac:dyDescent="0.2">
      <c r="BL460" s="2"/>
      <c r="BM460" s="2"/>
    </row>
    <row r="461" spans="64:65" x14ac:dyDescent="0.2">
      <c r="BL461" s="2"/>
      <c r="BM461" s="2"/>
    </row>
    <row r="462" spans="64:65" x14ac:dyDescent="0.2">
      <c r="BL462" s="2"/>
      <c r="BM462" s="2"/>
    </row>
    <row r="463" spans="64:65" x14ac:dyDescent="0.2">
      <c r="BL463" s="2"/>
      <c r="BM463" s="2"/>
    </row>
    <row r="464" spans="64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  <row r="542" spans="64:65" x14ac:dyDescent="0.2">
      <c r="BL542" s="2"/>
      <c r="BM542" s="2"/>
    </row>
    <row r="543" spans="64:65" x14ac:dyDescent="0.2">
      <c r="BL543" s="2"/>
      <c r="BM543" s="2"/>
    </row>
    <row r="544" spans="64:65" x14ac:dyDescent="0.2">
      <c r="BL544" s="2"/>
      <c r="BM544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E248-B556-44B0-9453-F114BD7CDB58}">
  <dimension ref="A1:BO543"/>
  <sheetViews>
    <sheetView showGridLines="0" workbookViewId="0">
      <pane xSplit="2" ySplit="8" topLeftCell="C9" activePane="bottomRight" state="frozen"/>
      <selection activeCell="A9" sqref="A9:L23"/>
      <selection pane="topRight" activeCell="A9" sqref="A9:L23"/>
      <selection pane="bottomLeft" activeCell="A9" sqref="A9:L23"/>
      <selection pane="bottomRight" activeCell="A9" sqref="A9:L23"/>
    </sheetView>
  </sheetViews>
  <sheetFormatPr defaultRowHeight="12.75" x14ac:dyDescent="0.2"/>
  <cols>
    <col min="1" max="1" width="6.5703125" style="3" bestFit="1" customWidth="1"/>
    <col min="2" max="2" width="63.85546875" style="3" bestFit="1" customWidth="1"/>
    <col min="4" max="4" width="6" bestFit="1" customWidth="1"/>
    <col min="5" max="5" width="7.42578125" bestFit="1" customWidth="1"/>
    <col min="6" max="6" width="10.140625" bestFit="1" customWidth="1"/>
    <col min="7" max="7" width="10.85546875" bestFit="1" customWidth="1"/>
    <col min="9" max="9" width="6" bestFit="1" customWidth="1"/>
    <col min="10" max="10" width="7.42578125" bestFit="1" customWidth="1"/>
    <col min="11" max="11" width="10.140625" bestFit="1" customWidth="1"/>
    <col min="12" max="12" width="10.85546875" bestFit="1" customWidth="1"/>
    <col min="13" max="13" width="8.5703125" bestFit="1" customWidth="1"/>
    <col min="14" max="14" width="6" bestFit="1" customWidth="1"/>
    <col min="15" max="15" width="7.42578125" bestFit="1" customWidth="1"/>
    <col min="16" max="16" width="4.5703125" bestFit="1" customWidth="1"/>
    <col min="17" max="17" width="10.85546875" bestFit="1" customWidth="1"/>
    <col min="18" max="18" width="8.5703125" bestFit="1" customWidth="1"/>
    <col min="19" max="19" width="6" bestFit="1" customWidth="1"/>
    <col min="20" max="20" width="7.42578125" bestFit="1" customWidth="1"/>
    <col min="21" max="21" width="4.5703125" bestFit="1" customWidth="1"/>
    <col min="22" max="22" width="10.85546875" bestFit="1" customWidth="1"/>
    <col min="23" max="23" width="8.5703125" bestFit="1" customWidth="1"/>
    <col min="24" max="24" width="6" bestFit="1" customWidth="1"/>
    <col min="25" max="25" width="7.42578125" bestFit="1" customWidth="1"/>
    <col min="26" max="26" width="4.5703125" bestFit="1" customWidth="1"/>
    <col min="27" max="27" width="10.85546875" bestFit="1" customWidth="1"/>
    <col min="28" max="28" width="8.5703125" bestFit="1" customWidth="1"/>
    <col min="29" max="29" width="6" bestFit="1" customWidth="1"/>
    <col min="30" max="30" width="7.42578125" bestFit="1" customWidth="1"/>
    <col min="31" max="31" width="4.5703125" bestFit="1" customWidth="1"/>
    <col min="32" max="32" width="10.85546875" bestFit="1" customWidth="1"/>
    <col min="33" max="33" width="8.5703125" bestFit="1" customWidth="1"/>
    <col min="34" max="34" width="6" bestFit="1" customWidth="1"/>
    <col min="35" max="35" width="7.42578125" bestFit="1" customWidth="1"/>
    <col min="36" max="36" width="4.5703125" bestFit="1" customWidth="1"/>
    <col min="37" max="37" width="10.85546875" bestFit="1" customWidth="1"/>
    <col min="38" max="38" width="8.5703125" bestFit="1" customWidth="1"/>
    <col min="39" max="39" width="6" bestFit="1" customWidth="1"/>
    <col min="40" max="40" width="7.42578125" bestFit="1" customWidth="1"/>
    <col min="41" max="41" width="4.5703125" bestFit="1" customWidth="1"/>
    <col min="42" max="42" width="10.85546875" bestFit="1" customWidth="1"/>
    <col min="43" max="43" width="8.5703125" bestFit="1" customWidth="1"/>
    <col min="44" max="44" width="6" bestFit="1" customWidth="1"/>
    <col min="45" max="45" width="7.42578125" bestFit="1" customWidth="1"/>
    <col min="46" max="46" width="4.5703125" bestFit="1" customWidth="1"/>
    <col min="47" max="47" width="10.85546875" bestFit="1" customWidth="1"/>
    <col min="48" max="48" width="8.5703125" bestFit="1" customWidth="1"/>
    <col min="49" max="49" width="6" bestFit="1" customWidth="1"/>
    <col min="50" max="50" width="7.42578125" bestFit="1" customWidth="1"/>
    <col min="51" max="51" width="4.5703125" bestFit="1" customWidth="1"/>
    <col min="52" max="52" width="10.85546875" bestFit="1" customWidth="1"/>
    <col min="53" max="53" width="8.5703125" bestFit="1" customWidth="1"/>
    <col min="54" max="54" width="6" bestFit="1" customWidth="1"/>
    <col min="55" max="55" width="7.42578125" bestFit="1" customWidth="1"/>
    <col min="56" max="56" width="4.5703125" bestFit="1" customWidth="1"/>
    <col min="57" max="57" width="10.85546875" bestFit="1" customWidth="1"/>
    <col min="58" max="58" width="8.5703125" bestFit="1" customWidth="1"/>
    <col min="59" max="59" width="6" bestFit="1" customWidth="1"/>
    <col min="60" max="60" width="7.42578125" bestFit="1" customWidth="1"/>
    <col min="61" max="61" width="3.28515625" bestFit="1" customWidth="1"/>
    <col min="62" max="62" width="10.85546875" bestFit="1" customWidth="1"/>
    <col min="64" max="65" width="10.140625" bestFit="1" customWidth="1"/>
  </cols>
  <sheetData>
    <row r="1" spans="1:67" s="4" customFormat="1" x14ac:dyDescent="0.2">
      <c r="A1" s="6"/>
      <c r="B1" s="6"/>
    </row>
    <row r="2" spans="1:67" s="4" customFormat="1" x14ac:dyDescent="0.2">
      <c r="A2" s="6"/>
      <c r="B2" s="6"/>
    </row>
    <row r="3" spans="1:67" s="4" customFormat="1" x14ac:dyDescent="0.2">
      <c r="A3" s="6"/>
      <c r="B3" s="6"/>
    </row>
    <row r="4" spans="1:67" s="4" customFormat="1" ht="13.5" thickBot="1" x14ac:dyDescent="0.25">
      <c r="A4" s="6"/>
      <c r="B4" s="6"/>
    </row>
    <row r="5" spans="1:67" s="4" customFormat="1" ht="18" customHeight="1" x14ac:dyDescent="0.2">
      <c r="A5" s="116" t="s">
        <v>29</v>
      </c>
      <c r="B5" s="117"/>
      <c r="C5" s="111" t="s">
        <v>11</v>
      </c>
      <c r="D5" s="111"/>
      <c r="E5" s="111"/>
      <c r="F5" s="111"/>
      <c r="G5" s="108">
        <v>6.2763</v>
      </c>
      <c r="H5" s="114" t="s">
        <v>12</v>
      </c>
      <c r="I5" s="111"/>
      <c r="J5" s="111"/>
      <c r="K5" s="111"/>
      <c r="L5" s="108">
        <v>6.1515000000000004</v>
      </c>
      <c r="M5" s="114" t="s">
        <v>13</v>
      </c>
      <c r="N5" s="111"/>
      <c r="O5" s="111"/>
      <c r="P5" s="111"/>
      <c r="Q5" s="108">
        <v>0</v>
      </c>
      <c r="R5" s="114" t="s">
        <v>22</v>
      </c>
      <c r="S5" s="111"/>
      <c r="T5" s="111"/>
      <c r="U5" s="111"/>
      <c r="V5" s="108">
        <v>0</v>
      </c>
      <c r="W5" s="114" t="s">
        <v>21</v>
      </c>
      <c r="X5" s="111"/>
      <c r="Y5" s="111"/>
      <c r="Z5" s="111"/>
      <c r="AA5" s="108">
        <v>0</v>
      </c>
      <c r="AB5" s="114" t="s">
        <v>20</v>
      </c>
      <c r="AC5" s="111"/>
      <c r="AD5" s="111"/>
      <c r="AE5" s="111"/>
      <c r="AF5" s="108">
        <v>0</v>
      </c>
      <c r="AG5" s="114" t="s">
        <v>19</v>
      </c>
      <c r="AH5" s="111"/>
      <c r="AI5" s="111"/>
      <c r="AJ5" s="111"/>
      <c r="AK5" s="108">
        <v>0</v>
      </c>
      <c r="AL5" s="114" t="s">
        <v>18</v>
      </c>
      <c r="AM5" s="111"/>
      <c r="AN5" s="111"/>
      <c r="AO5" s="111"/>
      <c r="AP5" s="108">
        <v>0</v>
      </c>
      <c r="AQ5" s="114" t="s">
        <v>17</v>
      </c>
      <c r="AR5" s="111"/>
      <c r="AS5" s="111"/>
      <c r="AT5" s="111"/>
      <c r="AU5" s="108">
        <v>0</v>
      </c>
      <c r="AV5" s="114" t="s">
        <v>16</v>
      </c>
      <c r="AW5" s="111"/>
      <c r="AX5" s="111"/>
      <c r="AY5" s="111"/>
      <c r="AZ5" s="108">
        <v>0</v>
      </c>
      <c r="BA5" s="110" t="s">
        <v>15</v>
      </c>
      <c r="BB5" s="111"/>
      <c r="BC5" s="111"/>
      <c r="BD5" s="111"/>
      <c r="BE5" s="108">
        <v>0</v>
      </c>
      <c r="BF5" s="110" t="s">
        <v>14</v>
      </c>
      <c r="BG5" s="111"/>
      <c r="BH5" s="111"/>
      <c r="BI5" s="111"/>
      <c r="BJ5" s="108">
        <v>0</v>
      </c>
      <c r="BK5" s="103" t="s">
        <v>1</v>
      </c>
      <c r="BL5" s="103"/>
      <c r="BM5" s="104"/>
    </row>
    <row r="6" spans="1:67" s="4" customFormat="1" ht="18" customHeight="1" thickBot="1" x14ac:dyDescent="0.25">
      <c r="A6" s="118"/>
      <c r="B6" s="119"/>
      <c r="C6" s="113"/>
      <c r="D6" s="113"/>
      <c r="E6" s="113"/>
      <c r="F6" s="113"/>
      <c r="G6" s="109"/>
      <c r="H6" s="115"/>
      <c r="I6" s="113"/>
      <c r="J6" s="113"/>
      <c r="K6" s="113"/>
      <c r="L6" s="109"/>
      <c r="M6" s="115"/>
      <c r="N6" s="113"/>
      <c r="O6" s="113"/>
      <c r="P6" s="113"/>
      <c r="Q6" s="109"/>
      <c r="R6" s="115"/>
      <c r="S6" s="113"/>
      <c r="T6" s="113"/>
      <c r="U6" s="113"/>
      <c r="V6" s="109"/>
      <c r="W6" s="115"/>
      <c r="X6" s="113"/>
      <c r="Y6" s="113"/>
      <c r="Z6" s="113"/>
      <c r="AA6" s="109"/>
      <c r="AB6" s="115"/>
      <c r="AC6" s="113"/>
      <c r="AD6" s="113"/>
      <c r="AE6" s="113"/>
      <c r="AF6" s="109"/>
      <c r="AG6" s="115"/>
      <c r="AH6" s="113"/>
      <c r="AI6" s="113"/>
      <c r="AJ6" s="113"/>
      <c r="AK6" s="109"/>
      <c r="AL6" s="115"/>
      <c r="AM6" s="113"/>
      <c r="AN6" s="113"/>
      <c r="AO6" s="113"/>
      <c r="AP6" s="109"/>
      <c r="AQ6" s="115"/>
      <c r="AR6" s="113"/>
      <c r="AS6" s="113"/>
      <c r="AT6" s="113"/>
      <c r="AU6" s="109"/>
      <c r="AV6" s="115"/>
      <c r="AW6" s="113"/>
      <c r="AX6" s="113"/>
      <c r="AY6" s="113"/>
      <c r="AZ6" s="109"/>
      <c r="BA6" s="112"/>
      <c r="BB6" s="113"/>
      <c r="BC6" s="113"/>
      <c r="BD6" s="113"/>
      <c r="BE6" s="109"/>
      <c r="BF6" s="112"/>
      <c r="BG6" s="113"/>
      <c r="BH6" s="113"/>
      <c r="BI6" s="113"/>
      <c r="BJ6" s="109"/>
      <c r="BK6" s="105"/>
      <c r="BL6" s="105"/>
      <c r="BM6" s="106"/>
      <c r="BN6" s="107"/>
      <c r="BO6" s="107"/>
    </row>
    <row r="7" spans="1:67" s="4" customFormat="1" ht="13.5" thickBot="1" x14ac:dyDescent="0.25">
      <c r="A7" s="120"/>
      <c r="B7" s="121"/>
      <c r="C7" s="13" t="s">
        <v>8</v>
      </c>
      <c r="D7" s="100" t="s">
        <v>9</v>
      </c>
      <c r="E7" s="100"/>
      <c r="F7" s="100" t="s">
        <v>3</v>
      </c>
      <c r="G7" s="102"/>
      <c r="H7" s="14" t="s">
        <v>8</v>
      </c>
      <c r="I7" s="100" t="s">
        <v>9</v>
      </c>
      <c r="J7" s="100"/>
      <c r="K7" s="100" t="s">
        <v>3</v>
      </c>
      <c r="L7" s="102"/>
      <c r="M7" s="14" t="s">
        <v>8</v>
      </c>
      <c r="N7" s="100" t="s">
        <v>9</v>
      </c>
      <c r="O7" s="100"/>
      <c r="P7" s="100" t="s">
        <v>3</v>
      </c>
      <c r="Q7" s="100"/>
      <c r="R7" s="14" t="s">
        <v>8</v>
      </c>
      <c r="S7" s="100" t="s">
        <v>9</v>
      </c>
      <c r="T7" s="100"/>
      <c r="U7" s="100" t="s">
        <v>3</v>
      </c>
      <c r="V7" s="102"/>
      <c r="W7" s="14" t="s">
        <v>8</v>
      </c>
      <c r="X7" s="100" t="s">
        <v>9</v>
      </c>
      <c r="Y7" s="100"/>
      <c r="Z7" s="100" t="s">
        <v>3</v>
      </c>
      <c r="AA7" s="100"/>
      <c r="AB7" s="14" t="s">
        <v>8</v>
      </c>
      <c r="AC7" s="100" t="s">
        <v>9</v>
      </c>
      <c r="AD7" s="100"/>
      <c r="AE7" s="100" t="s">
        <v>3</v>
      </c>
      <c r="AF7" s="102"/>
      <c r="AG7" s="14" t="s">
        <v>8</v>
      </c>
      <c r="AH7" s="100" t="s">
        <v>9</v>
      </c>
      <c r="AI7" s="100"/>
      <c r="AJ7" s="100" t="s">
        <v>3</v>
      </c>
      <c r="AK7" s="100"/>
      <c r="AL7" s="14" t="s">
        <v>8</v>
      </c>
      <c r="AM7" s="100" t="s">
        <v>9</v>
      </c>
      <c r="AN7" s="100"/>
      <c r="AO7" s="100" t="s">
        <v>3</v>
      </c>
      <c r="AP7" s="102"/>
      <c r="AQ7" s="14" t="s">
        <v>8</v>
      </c>
      <c r="AR7" s="100" t="s">
        <v>9</v>
      </c>
      <c r="AS7" s="100"/>
      <c r="AT7" s="100" t="s">
        <v>3</v>
      </c>
      <c r="AU7" s="102"/>
      <c r="AV7" s="14" t="s">
        <v>8</v>
      </c>
      <c r="AW7" s="100" t="s">
        <v>9</v>
      </c>
      <c r="AX7" s="100"/>
      <c r="AY7" s="100" t="s">
        <v>3</v>
      </c>
      <c r="AZ7" s="100"/>
      <c r="BA7" s="17" t="s">
        <v>8</v>
      </c>
      <c r="BB7" s="100" t="s">
        <v>9</v>
      </c>
      <c r="BC7" s="100"/>
      <c r="BD7" s="100" t="s">
        <v>3</v>
      </c>
      <c r="BE7" s="101"/>
      <c r="BF7" s="17" t="s">
        <v>8</v>
      </c>
      <c r="BG7" s="100" t="s">
        <v>9</v>
      </c>
      <c r="BH7" s="100"/>
      <c r="BI7" s="100" t="s">
        <v>3</v>
      </c>
      <c r="BJ7" s="101"/>
      <c r="BK7" s="13"/>
      <c r="BL7" s="15"/>
      <c r="BM7" s="16"/>
      <c r="BN7" s="99"/>
      <c r="BO7" s="99"/>
    </row>
    <row r="8" spans="1:67" s="4" customFormat="1" ht="13.5" thickBot="1" x14ac:dyDescent="0.25">
      <c r="A8" s="11" t="s">
        <v>2</v>
      </c>
      <c r="B8" s="8" t="s">
        <v>7</v>
      </c>
      <c r="C8" s="7" t="s">
        <v>0</v>
      </c>
      <c r="D8" s="7" t="s">
        <v>4</v>
      </c>
      <c r="E8" s="7" t="s">
        <v>6</v>
      </c>
      <c r="F8" s="7" t="s">
        <v>5</v>
      </c>
      <c r="G8" s="9" t="s">
        <v>10</v>
      </c>
      <c r="H8" s="10" t="s">
        <v>0</v>
      </c>
      <c r="I8" s="7" t="s">
        <v>4</v>
      </c>
      <c r="J8" s="7" t="s">
        <v>6</v>
      </c>
      <c r="K8" s="7" t="s">
        <v>5</v>
      </c>
      <c r="L8" s="9" t="s">
        <v>10</v>
      </c>
      <c r="M8" s="10" t="s">
        <v>0</v>
      </c>
      <c r="N8" s="7" t="s">
        <v>4</v>
      </c>
      <c r="O8" s="7" t="s">
        <v>6</v>
      </c>
      <c r="P8" s="7" t="s">
        <v>5</v>
      </c>
      <c r="Q8" s="7" t="s">
        <v>10</v>
      </c>
      <c r="R8" s="10" t="s">
        <v>0</v>
      </c>
      <c r="S8" s="7" t="s">
        <v>4</v>
      </c>
      <c r="T8" s="7" t="s">
        <v>6</v>
      </c>
      <c r="U8" s="7" t="s">
        <v>5</v>
      </c>
      <c r="V8" s="9" t="s">
        <v>10</v>
      </c>
      <c r="W8" s="10" t="s">
        <v>0</v>
      </c>
      <c r="X8" s="7" t="s">
        <v>4</v>
      </c>
      <c r="Y8" s="7" t="s">
        <v>6</v>
      </c>
      <c r="Z8" s="7" t="s">
        <v>5</v>
      </c>
      <c r="AA8" s="7" t="s">
        <v>10</v>
      </c>
      <c r="AB8" s="10" t="s">
        <v>0</v>
      </c>
      <c r="AC8" s="7" t="s">
        <v>4</v>
      </c>
      <c r="AD8" s="7" t="s">
        <v>6</v>
      </c>
      <c r="AE8" s="7" t="s">
        <v>5</v>
      </c>
      <c r="AF8" s="9" t="s">
        <v>10</v>
      </c>
      <c r="AG8" s="10" t="s">
        <v>0</v>
      </c>
      <c r="AH8" s="7" t="s">
        <v>4</v>
      </c>
      <c r="AI8" s="7" t="s">
        <v>6</v>
      </c>
      <c r="AJ8" s="7" t="s">
        <v>5</v>
      </c>
      <c r="AK8" s="7" t="s">
        <v>10</v>
      </c>
      <c r="AL8" s="10" t="s">
        <v>0</v>
      </c>
      <c r="AM8" s="7" t="s">
        <v>4</v>
      </c>
      <c r="AN8" s="7" t="s">
        <v>6</v>
      </c>
      <c r="AO8" s="7" t="s">
        <v>5</v>
      </c>
      <c r="AP8" s="9" t="s">
        <v>10</v>
      </c>
      <c r="AQ8" s="10" t="s">
        <v>0</v>
      </c>
      <c r="AR8" s="7" t="s">
        <v>4</v>
      </c>
      <c r="AS8" s="7" t="s">
        <v>6</v>
      </c>
      <c r="AT8" s="7" t="s">
        <v>5</v>
      </c>
      <c r="AU8" s="9" t="s">
        <v>10</v>
      </c>
      <c r="AV8" s="10" t="s">
        <v>0</v>
      </c>
      <c r="AW8" s="7" t="s">
        <v>4</v>
      </c>
      <c r="AX8" s="7" t="s">
        <v>6</v>
      </c>
      <c r="AY8" s="7" t="s">
        <v>5</v>
      </c>
      <c r="AZ8" s="7" t="s">
        <v>10</v>
      </c>
      <c r="BA8" s="18" t="s">
        <v>0</v>
      </c>
      <c r="BB8" s="7" t="s">
        <v>4</v>
      </c>
      <c r="BC8" s="7" t="s">
        <v>6</v>
      </c>
      <c r="BD8" s="7" t="s">
        <v>5</v>
      </c>
      <c r="BE8" s="19" t="s">
        <v>10</v>
      </c>
      <c r="BF8" s="18" t="s">
        <v>0</v>
      </c>
      <c r="BG8" s="7" t="s">
        <v>4</v>
      </c>
      <c r="BH8" s="7" t="s">
        <v>6</v>
      </c>
      <c r="BI8" s="7" t="s">
        <v>5</v>
      </c>
      <c r="BJ8" s="19" t="s">
        <v>10</v>
      </c>
      <c r="BK8" s="7"/>
      <c r="BL8" s="7" t="s">
        <v>5</v>
      </c>
      <c r="BM8" s="12" t="s">
        <v>10</v>
      </c>
      <c r="BN8" s="5"/>
      <c r="BO8" s="5"/>
    </row>
    <row r="9" spans="1:67" x14ac:dyDescent="0.2">
      <c r="A9" s="3" t="s">
        <v>82</v>
      </c>
      <c r="B9" s="3" t="s">
        <v>83</v>
      </c>
      <c r="C9" s="2">
        <v>30236</v>
      </c>
      <c r="D9" s="2">
        <v>13.899908</v>
      </c>
      <c r="E9" s="2">
        <v>2.2146721926000001</v>
      </c>
      <c r="F9" s="2">
        <v>420277.618288</v>
      </c>
      <c r="G9" s="2">
        <v>66962.828416061893</v>
      </c>
      <c r="H9" s="2">
        <v>15029</v>
      </c>
      <c r="I9" s="2">
        <v>14.103635000000001</v>
      </c>
      <c r="J9" s="2">
        <v>2.2927232557000004</v>
      </c>
      <c r="K9" s="2">
        <v>211963.53041500002</v>
      </c>
      <c r="L9" s="2">
        <v>34457.337809843702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>
        <v>0</v>
      </c>
      <c r="BJ9" s="2">
        <v>0</v>
      </c>
      <c r="BL9" s="2">
        <f t="shared" ref="BL9:BM11" si="0">SUM(F9,K9,P9,U9,Z9,AE9,AJ9,AO9,AT9,AY9,BD9,BI9)</f>
        <v>632241.14870300004</v>
      </c>
      <c r="BM9" s="2">
        <f t="shared" si="0"/>
        <v>101420.16622590559</v>
      </c>
    </row>
    <row r="10" spans="1:67" x14ac:dyDescent="0.2">
      <c r="A10" s="3" t="s">
        <v>84</v>
      </c>
      <c r="B10" s="3" t="s">
        <v>85</v>
      </c>
      <c r="C10" s="2">
        <v>14324</v>
      </c>
      <c r="D10" s="2">
        <v>12.363746000000001</v>
      </c>
      <c r="E10" s="2">
        <v>1.9699155175999998</v>
      </c>
      <c r="F10" s="2">
        <v>177098.29770400003</v>
      </c>
      <c r="G10" s="2">
        <v>28217.069874520599</v>
      </c>
      <c r="H10" s="2">
        <v>30382</v>
      </c>
      <c r="I10" s="2">
        <v>12.468438999999998</v>
      </c>
      <c r="J10" s="2">
        <v>2.0269015794999996</v>
      </c>
      <c r="K10" s="2">
        <v>378816.11369800009</v>
      </c>
      <c r="L10" s="2">
        <v>61581.323786917012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>
        <v>0</v>
      </c>
      <c r="BJ10" s="2">
        <v>0</v>
      </c>
      <c r="BL10" s="2">
        <f t="shared" si="0"/>
        <v>555914.41140200011</v>
      </c>
      <c r="BM10" s="2">
        <f t="shared" si="0"/>
        <v>89798.393661437614</v>
      </c>
    </row>
    <row r="11" spans="1:67" x14ac:dyDescent="0.2">
      <c r="A11" s="3" t="s">
        <v>86</v>
      </c>
      <c r="B11" s="3" t="s">
        <v>87</v>
      </c>
      <c r="C11" s="2">
        <v>26786</v>
      </c>
      <c r="D11" s="2">
        <v>18.913533999999999</v>
      </c>
      <c r="E11" s="2">
        <v>3.0134931693999998</v>
      </c>
      <c r="F11" s="2">
        <v>506617.92172400001</v>
      </c>
      <c r="G11" s="2">
        <v>80719.428036871803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>
        <v>0</v>
      </c>
      <c r="BJ11" s="2">
        <v>0</v>
      </c>
      <c r="BL11" s="2">
        <f t="shared" si="0"/>
        <v>506617.92172400001</v>
      </c>
      <c r="BM11" s="2">
        <f t="shared" si="0"/>
        <v>80719.428036871803</v>
      </c>
    </row>
    <row r="12" spans="1:67" x14ac:dyDescent="0.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L12" s="2"/>
      <c r="BM12" s="2"/>
    </row>
    <row r="13" spans="1:67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L13" s="2"/>
      <c r="BM13" s="2"/>
    </row>
    <row r="14" spans="1:67" s="1" customFormat="1" x14ac:dyDescent="0.2">
      <c r="A14" s="20"/>
      <c r="B14" s="23"/>
      <c r="C14" s="21"/>
      <c r="D14" s="22"/>
      <c r="E14" s="22"/>
      <c r="F14" s="24"/>
      <c r="G14" s="25"/>
      <c r="H14" s="21"/>
      <c r="I14" s="22"/>
      <c r="J14" s="22"/>
      <c r="K14" s="24"/>
      <c r="L14" s="25"/>
      <c r="M14" s="21"/>
      <c r="N14" s="22"/>
      <c r="O14" s="22"/>
      <c r="P14" s="24"/>
      <c r="Q14" s="25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L14" s="21"/>
      <c r="BM14" s="21"/>
    </row>
    <row r="15" spans="1:67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L15" s="2"/>
      <c r="BM15" s="2"/>
    </row>
    <row r="16" spans="1:67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L16" s="2"/>
      <c r="BM16" s="2"/>
    </row>
    <row r="17" spans="3:65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L17" s="2"/>
      <c r="BM17" s="2"/>
    </row>
    <row r="18" spans="3:65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L18" s="2"/>
      <c r="BM18" s="2"/>
    </row>
    <row r="19" spans="3:6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L19" s="2"/>
      <c r="BM19" s="2"/>
    </row>
    <row r="20" spans="3:6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L20" s="2"/>
      <c r="BM20" s="2"/>
    </row>
    <row r="21" spans="3:6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L21" s="2"/>
      <c r="BM21" s="2"/>
    </row>
    <row r="22" spans="3:6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L22" s="2"/>
      <c r="BM22" s="2"/>
    </row>
    <row r="23" spans="3:65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L23" s="2"/>
      <c r="BM23" s="2"/>
    </row>
    <row r="24" spans="3:65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L24" s="2"/>
      <c r="BM24" s="2"/>
    </row>
    <row r="25" spans="3:65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L25" s="2"/>
      <c r="BM25" s="2"/>
    </row>
    <row r="26" spans="3:65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L26" s="2"/>
      <c r="BM26" s="2"/>
    </row>
    <row r="27" spans="3:65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L27" s="2"/>
      <c r="BM27" s="2"/>
    </row>
    <row r="28" spans="3:6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L28" s="2"/>
      <c r="BM28" s="2"/>
    </row>
    <row r="29" spans="3:6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L29" s="2"/>
      <c r="BM29" s="2"/>
    </row>
    <row r="30" spans="3:6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L30" s="2"/>
      <c r="BM30" s="2"/>
    </row>
    <row r="31" spans="3:6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L31" s="2"/>
      <c r="BM31" s="2"/>
    </row>
    <row r="32" spans="3:6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L32" s="2"/>
      <c r="BM32" s="2"/>
    </row>
    <row r="33" spans="3:6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L33" s="2"/>
      <c r="BM33" s="2"/>
    </row>
    <row r="34" spans="3:6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L34" s="2"/>
      <c r="BM34" s="2"/>
    </row>
    <row r="35" spans="3:6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L35" s="2"/>
      <c r="BM35" s="2"/>
    </row>
    <row r="36" spans="3:6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L36" s="2"/>
      <c r="BM36" s="2"/>
    </row>
    <row r="37" spans="3:6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L37" s="2"/>
      <c r="BM37" s="2"/>
    </row>
    <row r="38" spans="3:6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L38" s="2"/>
      <c r="BM38" s="2"/>
    </row>
    <row r="39" spans="3:6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L39" s="2"/>
      <c r="BM39" s="2"/>
    </row>
    <row r="40" spans="3:6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L40" s="2"/>
      <c r="BM40" s="2"/>
    </row>
    <row r="41" spans="3:6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L41" s="2"/>
      <c r="BM41" s="2"/>
    </row>
    <row r="42" spans="3:6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L42" s="2"/>
      <c r="BM42" s="2"/>
    </row>
    <row r="43" spans="3:6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L43" s="2"/>
      <c r="BM43" s="2"/>
    </row>
    <row r="44" spans="3:6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L44" s="2"/>
      <c r="BM44" s="2"/>
    </row>
    <row r="45" spans="3:65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L45" s="2"/>
      <c r="BM45" s="2"/>
    </row>
    <row r="46" spans="3:65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L46" s="2"/>
      <c r="BM46" s="2"/>
    </row>
    <row r="47" spans="3:65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L47" s="2"/>
      <c r="BM47" s="2"/>
    </row>
    <row r="48" spans="3:65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L48" s="2"/>
      <c r="BM48" s="2"/>
    </row>
    <row r="49" spans="3:65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L49" s="2"/>
      <c r="BM49" s="2"/>
    </row>
    <row r="50" spans="3:65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L50" s="2"/>
      <c r="BM50" s="2"/>
    </row>
    <row r="51" spans="3:65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L51" s="2"/>
      <c r="BM51" s="2"/>
    </row>
    <row r="52" spans="3:65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L52" s="2"/>
      <c r="BM52" s="2"/>
    </row>
    <row r="53" spans="3:65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L53" s="2"/>
      <c r="BM53" s="2"/>
    </row>
    <row r="54" spans="3:65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L54" s="2"/>
      <c r="BM54" s="2"/>
    </row>
    <row r="55" spans="3:65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L55" s="2"/>
      <c r="BM55" s="2"/>
    </row>
    <row r="56" spans="3:65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L56" s="2"/>
      <c r="BM56" s="2"/>
    </row>
    <row r="57" spans="3:65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L57" s="2"/>
      <c r="BM57" s="2"/>
    </row>
    <row r="58" spans="3:65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L58" s="2"/>
      <c r="BM58" s="2"/>
    </row>
    <row r="59" spans="3:65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L59" s="2"/>
      <c r="BM59" s="2"/>
    </row>
    <row r="60" spans="3:65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L60" s="2"/>
      <c r="BM60" s="2"/>
    </row>
    <row r="61" spans="3:65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L61" s="2"/>
      <c r="BM61" s="2"/>
    </row>
    <row r="62" spans="3:65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L62" s="2"/>
      <c r="BM62" s="2"/>
    </row>
    <row r="63" spans="3:65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L63" s="2"/>
      <c r="BM63" s="2"/>
    </row>
    <row r="64" spans="3:65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L64" s="2"/>
      <c r="BM64" s="2"/>
    </row>
    <row r="65" spans="3:65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L65" s="2"/>
      <c r="BM65" s="2"/>
    </row>
    <row r="66" spans="3:65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L66" s="2"/>
      <c r="BM66" s="2"/>
    </row>
    <row r="67" spans="3:65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L67" s="2"/>
      <c r="BM67" s="2"/>
    </row>
    <row r="68" spans="3:65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L68" s="2"/>
      <c r="BM68" s="2"/>
    </row>
    <row r="69" spans="3:65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L69" s="2"/>
      <c r="BM69" s="2"/>
    </row>
    <row r="70" spans="3:65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L70" s="2"/>
      <c r="BM70" s="2"/>
    </row>
    <row r="71" spans="3:65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L71" s="2"/>
      <c r="BM71" s="2"/>
    </row>
    <row r="72" spans="3:65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L72" s="2"/>
      <c r="BM72" s="2"/>
    </row>
    <row r="73" spans="3:65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L73" s="2"/>
      <c r="BM73" s="2"/>
    </row>
    <row r="74" spans="3:65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L74" s="2"/>
      <c r="BM74" s="2"/>
    </row>
    <row r="75" spans="3:65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L75" s="2"/>
      <c r="BM75" s="2"/>
    </row>
    <row r="76" spans="3:65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L76" s="2"/>
      <c r="BM76" s="2"/>
    </row>
    <row r="77" spans="3:65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L77" s="2"/>
      <c r="BM77" s="2"/>
    </row>
    <row r="78" spans="3:65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L78" s="2"/>
      <c r="BM78" s="2"/>
    </row>
    <row r="79" spans="3:65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L79" s="2"/>
      <c r="BM79" s="2"/>
    </row>
    <row r="80" spans="3:65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L80" s="2"/>
      <c r="BM80" s="2"/>
    </row>
    <row r="81" spans="3:65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L81" s="2"/>
      <c r="BM81" s="2"/>
    </row>
    <row r="82" spans="3:65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L82" s="2"/>
      <c r="BM82" s="2"/>
    </row>
    <row r="83" spans="3:65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L83" s="2"/>
      <c r="BM83" s="2"/>
    </row>
    <row r="84" spans="3:65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L84" s="2"/>
      <c r="BM84" s="2"/>
    </row>
    <row r="85" spans="3:65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L85" s="2"/>
      <c r="BM85" s="2"/>
    </row>
    <row r="86" spans="3:65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L86" s="2"/>
      <c r="BM86" s="2"/>
    </row>
    <row r="87" spans="3:65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L87" s="2"/>
      <c r="BM87" s="2"/>
    </row>
    <row r="88" spans="3:65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L88" s="2"/>
      <c r="BM88" s="2"/>
    </row>
    <row r="89" spans="3:65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L89" s="2"/>
      <c r="BM89" s="2"/>
    </row>
    <row r="90" spans="3:65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L90" s="2"/>
      <c r="BM90" s="2"/>
    </row>
    <row r="91" spans="3:65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L91" s="2"/>
      <c r="BM91" s="2"/>
    </row>
    <row r="92" spans="3:65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L92" s="2"/>
      <c r="BM92" s="2"/>
    </row>
    <row r="93" spans="3:65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L93" s="2"/>
      <c r="BM93" s="2"/>
    </row>
    <row r="94" spans="3:65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L94" s="2"/>
      <c r="BM94" s="2"/>
    </row>
    <row r="95" spans="3:65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L95" s="2"/>
      <c r="BM95" s="2"/>
    </row>
    <row r="96" spans="3:65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L96" s="2"/>
      <c r="BM96" s="2"/>
    </row>
    <row r="97" spans="3:65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L97" s="2"/>
      <c r="BM97" s="2"/>
    </row>
    <row r="98" spans="3:65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L98" s="2"/>
      <c r="BM98" s="2"/>
    </row>
    <row r="99" spans="3:65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L99" s="2"/>
      <c r="BM99" s="2"/>
    </row>
    <row r="100" spans="3:65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L100" s="2"/>
      <c r="BM100" s="2"/>
    </row>
    <row r="101" spans="3:65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L101" s="2"/>
      <c r="BM101" s="2"/>
    </row>
    <row r="102" spans="3:65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L102" s="2"/>
      <c r="BM102" s="2"/>
    </row>
    <row r="103" spans="3:65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L103" s="2"/>
      <c r="BM103" s="2"/>
    </row>
    <row r="104" spans="3:65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L104" s="2"/>
      <c r="BM104" s="2"/>
    </row>
    <row r="105" spans="3:65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L105" s="2"/>
      <c r="BM105" s="2"/>
    </row>
    <row r="106" spans="3:65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L106" s="2"/>
      <c r="BM106" s="2"/>
    </row>
    <row r="107" spans="3:65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L107" s="2"/>
      <c r="BM107" s="2"/>
    </row>
    <row r="108" spans="3:65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L108" s="2"/>
      <c r="BM108" s="2"/>
    </row>
    <row r="109" spans="3:65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L109" s="2"/>
      <c r="BM109" s="2"/>
    </row>
    <row r="110" spans="3:65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L110" s="2"/>
      <c r="BM110" s="2"/>
    </row>
    <row r="111" spans="3:65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L111" s="2"/>
      <c r="BM111" s="2"/>
    </row>
    <row r="112" spans="3:65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L112" s="2"/>
      <c r="BM112" s="2"/>
    </row>
    <row r="113" spans="3:65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L113" s="2"/>
      <c r="BM113" s="2"/>
    </row>
    <row r="114" spans="3:65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L114" s="2"/>
      <c r="BM114" s="2"/>
    </row>
    <row r="115" spans="3:65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L115" s="2"/>
      <c r="BM115" s="2"/>
    </row>
    <row r="116" spans="3:65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L116" s="2"/>
      <c r="BM116" s="2"/>
    </row>
    <row r="117" spans="3:65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L117" s="2"/>
      <c r="BM117" s="2"/>
    </row>
    <row r="118" spans="3:65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L118" s="2"/>
      <c r="BM118" s="2"/>
    </row>
    <row r="119" spans="3:65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L119" s="2"/>
      <c r="BM119" s="2"/>
    </row>
    <row r="120" spans="3:65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L120" s="2"/>
      <c r="BM120" s="2"/>
    </row>
    <row r="121" spans="3:65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L121" s="2"/>
      <c r="BM121" s="2"/>
    </row>
    <row r="122" spans="3:65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L122" s="2"/>
      <c r="BM122" s="2"/>
    </row>
    <row r="123" spans="3:65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L123" s="2"/>
      <c r="BM123" s="2"/>
    </row>
    <row r="124" spans="3:65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L124" s="2"/>
      <c r="BM124" s="2"/>
    </row>
    <row r="125" spans="3:65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L125" s="2"/>
      <c r="BM125" s="2"/>
    </row>
    <row r="126" spans="3:65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L126" s="2"/>
      <c r="BM126" s="2"/>
    </row>
    <row r="127" spans="3:65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L127" s="2"/>
      <c r="BM127" s="2"/>
    </row>
    <row r="128" spans="3:65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L128" s="2"/>
      <c r="BM128" s="2"/>
    </row>
    <row r="129" spans="3:65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L129" s="2"/>
      <c r="BM129" s="2"/>
    </row>
    <row r="130" spans="3:65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L130" s="2"/>
      <c r="BM130" s="2"/>
    </row>
    <row r="131" spans="3:65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L131" s="2"/>
      <c r="BM131" s="2"/>
    </row>
    <row r="132" spans="3:65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L132" s="2"/>
      <c r="BM132" s="2"/>
    </row>
    <row r="133" spans="3:65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L133" s="2"/>
      <c r="BM133" s="2"/>
    </row>
    <row r="134" spans="3:65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L134" s="2"/>
      <c r="BM134" s="2"/>
    </row>
    <row r="135" spans="3:65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L135" s="2"/>
      <c r="BM135" s="2"/>
    </row>
    <row r="136" spans="3:65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L136" s="2"/>
      <c r="BM136" s="2"/>
    </row>
    <row r="137" spans="3:65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L137" s="2"/>
      <c r="BM137" s="2"/>
    </row>
    <row r="138" spans="3:65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L138" s="2"/>
      <c r="BM138" s="2"/>
    </row>
    <row r="139" spans="3:65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L139" s="2"/>
      <c r="BM139" s="2"/>
    </row>
    <row r="140" spans="3:65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L140" s="2"/>
      <c r="BM140" s="2"/>
    </row>
    <row r="141" spans="3:65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L141" s="2"/>
      <c r="BM141" s="2"/>
    </row>
    <row r="142" spans="3:65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L142" s="2"/>
      <c r="BM142" s="2"/>
    </row>
    <row r="143" spans="3:65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L143" s="2"/>
      <c r="BM143" s="2"/>
    </row>
    <row r="144" spans="3:65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L144" s="2"/>
      <c r="BM144" s="2"/>
    </row>
    <row r="145" spans="3:65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L145" s="2"/>
      <c r="BM145" s="2"/>
    </row>
    <row r="146" spans="3:65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L146" s="2"/>
      <c r="BM146" s="2"/>
    </row>
    <row r="147" spans="3:65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L147" s="2"/>
      <c r="BM147" s="2"/>
    </row>
    <row r="148" spans="3:65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L148" s="2"/>
      <c r="BM148" s="2"/>
    </row>
    <row r="149" spans="3:65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L149" s="2"/>
      <c r="BM149" s="2"/>
    </row>
    <row r="150" spans="3:65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L150" s="2"/>
      <c r="BM150" s="2"/>
    </row>
    <row r="151" spans="3:65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L151" s="2"/>
      <c r="BM151" s="2"/>
    </row>
    <row r="152" spans="3:65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L152" s="2"/>
      <c r="BM152" s="2"/>
    </row>
    <row r="153" spans="3:65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L153" s="2"/>
      <c r="BM153" s="2"/>
    </row>
    <row r="154" spans="3:65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L154" s="2"/>
      <c r="BM154" s="2"/>
    </row>
    <row r="155" spans="3:65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L155" s="2"/>
      <c r="BM155" s="2"/>
    </row>
    <row r="156" spans="3:65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L156" s="2"/>
      <c r="BM156" s="2"/>
    </row>
    <row r="157" spans="3:65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L157" s="2"/>
      <c r="BM157" s="2"/>
    </row>
    <row r="158" spans="3:65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L158" s="2"/>
      <c r="BM158" s="2"/>
    </row>
    <row r="159" spans="3:65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L159" s="2"/>
      <c r="BM159" s="2"/>
    </row>
    <row r="160" spans="3:65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L160" s="2"/>
      <c r="BM160" s="2"/>
    </row>
    <row r="161" spans="3:65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L161" s="2"/>
      <c r="BM161" s="2"/>
    </row>
    <row r="162" spans="3:65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L162" s="2"/>
      <c r="BM162" s="2"/>
    </row>
    <row r="163" spans="3:65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L163" s="2"/>
      <c r="BM163" s="2"/>
    </row>
    <row r="164" spans="3:65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L164" s="2"/>
      <c r="BM164" s="2"/>
    </row>
    <row r="165" spans="3:65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L165" s="2"/>
      <c r="BM165" s="2"/>
    </row>
    <row r="166" spans="3:65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L166" s="2"/>
      <c r="BM166" s="2"/>
    </row>
    <row r="167" spans="3:65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L167" s="2"/>
      <c r="BM167" s="2"/>
    </row>
    <row r="168" spans="3:65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L168" s="2"/>
      <c r="BM168" s="2"/>
    </row>
    <row r="169" spans="3:65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L169" s="2"/>
      <c r="BM169" s="2"/>
    </row>
    <row r="170" spans="3:6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L170" s="2"/>
      <c r="BM170" s="2"/>
    </row>
    <row r="171" spans="3:65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L171" s="2"/>
      <c r="BM171" s="2"/>
    </row>
    <row r="172" spans="3:65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L172" s="2"/>
      <c r="BM172" s="2"/>
    </row>
    <row r="173" spans="3:65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L173" s="2"/>
      <c r="BM173" s="2"/>
    </row>
    <row r="174" spans="3:65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L174" s="2"/>
      <c r="BM174" s="2"/>
    </row>
    <row r="175" spans="3:65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L175" s="2"/>
      <c r="BM175" s="2"/>
    </row>
    <row r="176" spans="3:65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L176" s="2"/>
      <c r="BM176" s="2"/>
    </row>
    <row r="177" spans="3:65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L177" s="2"/>
      <c r="BM177" s="2"/>
    </row>
    <row r="178" spans="3:65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L178" s="2"/>
      <c r="BM178" s="2"/>
    </row>
    <row r="179" spans="3:65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L179" s="2"/>
      <c r="BM179" s="2"/>
    </row>
    <row r="180" spans="3:65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L180" s="2"/>
      <c r="BM180" s="2"/>
    </row>
    <row r="181" spans="3:65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L181" s="2"/>
      <c r="BM181" s="2"/>
    </row>
    <row r="182" spans="3:65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L182" s="2"/>
      <c r="BM182" s="2"/>
    </row>
    <row r="183" spans="3:65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L183" s="2"/>
      <c r="BM183" s="2"/>
    </row>
    <row r="184" spans="3:65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L184" s="2"/>
      <c r="BM184" s="2"/>
    </row>
    <row r="185" spans="3:65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L185" s="2"/>
      <c r="BM185" s="2"/>
    </row>
    <row r="186" spans="3:65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L186" s="2"/>
      <c r="BM186" s="2"/>
    </row>
    <row r="187" spans="3:65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L187" s="2"/>
      <c r="BM187" s="2"/>
    </row>
    <row r="188" spans="3:65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L188" s="2"/>
      <c r="BM188" s="2"/>
    </row>
    <row r="189" spans="3:65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L189" s="2"/>
      <c r="BM189" s="2"/>
    </row>
    <row r="190" spans="3:65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L190" s="2"/>
      <c r="BM190" s="2"/>
    </row>
    <row r="191" spans="3:65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L191" s="2"/>
      <c r="BM191" s="2"/>
    </row>
    <row r="192" spans="3:65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L192" s="2"/>
      <c r="BM192" s="2"/>
    </row>
    <row r="193" spans="3:65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L193" s="2"/>
      <c r="BM193" s="2"/>
    </row>
    <row r="194" spans="3:65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L194" s="2"/>
      <c r="BM194" s="2"/>
    </row>
    <row r="195" spans="3:65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L195" s="2"/>
      <c r="BM195" s="2"/>
    </row>
    <row r="196" spans="3:65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L196" s="2"/>
      <c r="BM196" s="2"/>
    </row>
    <row r="197" spans="3:65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L197" s="2"/>
      <c r="BM197" s="2"/>
    </row>
    <row r="198" spans="3:65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L198" s="2"/>
      <c r="BM198" s="2"/>
    </row>
    <row r="199" spans="3:65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L199" s="2"/>
      <c r="BM199" s="2"/>
    </row>
    <row r="200" spans="3:65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L200" s="2"/>
      <c r="BM200" s="2"/>
    </row>
    <row r="201" spans="3:65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L201" s="2"/>
      <c r="BM201" s="2"/>
    </row>
    <row r="202" spans="3:65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L202" s="2"/>
      <c r="BM202" s="2"/>
    </row>
    <row r="203" spans="3:65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L203" s="2"/>
      <c r="BM203" s="2"/>
    </row>
    <row r="204" spans="3:65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L204" s="2"/>
      <c r="BM204" s="2"/>
    </row>
    <row r="205" spans="3:65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L205" s="2"/>
      <c r="BM205" s="2"/>
    </row>
    <row r="206" spans="3:65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L206" s="2"/>
      <c r="BM206" s="2"/>
    </row>
    <row r="207" spans="3:65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L207" s="2"/>
      <c r="BM207" s="2"/>
    </row>
    <row r="208" spans="3:65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L208" s="2"/>
      <c r="BM208" s="2"/>
    </row>
    <row r="209" spans="3:65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L209" s="2"/>
      <c r="BM209" s="2"/>
    </row>
    <row r="210" spans="3:65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L210" s="2"/>
      <c r="BM210" s="2"/>
    </row>
    <row r="211" spans="3:65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L211" s="2"/>
      <c r="BM211" s="2"/>
    </row>
    <row r="212" spans="3:65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L212" s="2"/>
      <c r="BM212" s="2"/>
    </row>
    <row r="213" spans="3:65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L213" s="2"/>
      <c r="BM213" s="2"/>
    </row>
    <row r="214" spans="3:65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L214" s="2"/>
      <c r="BM214" s="2"/>
    </row>
    <row r="215" spans="3:65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L215" s="2"/>
      <c r="BM215" s="2"/>
    </row>
    <row r="216" spans="3:65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L216" s="2"/>
      <c r="BM216" s="2"/>
    </row>
    <row r="217" spans="3:65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L217" s="2"/>
      <c r="BM217" s="2"/>
    </row>
    <row r="218" spans="3:65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L218" s="2"/>
      <c r="BM218" s="2"/>
    </row>
    <row r="219" spans="3:65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L219" s="2"/>
      <c r="BM219" s="2"/>
    </row>
    <row r="220" spans="3:65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L220" s="2"/>
      <c r="BM220" s="2"/>
    </row>
    <row r="221" spans="3:65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L221" s="2"/>
      <c r="BM221" s="2"/>
    </row>
    <row r="222" spans="3:65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L222" s="2"/>
      <c r="BM222" s="2"/>
    </row>
    <row r="223" spans="3:65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L223" s="2"/>
      <c r="BM223" s="2"/>
    </row>
    <row r="224" spans="3:65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L224" s="2"/>
      <c r="BM224" s="2"/>
    </row>
    <row r="225" spans="3:65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L225" s="2"/>
      <c r="BM225" s="2"/>
    </row>
    <row r="226" spans="3:65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L226" s="2"/>
      <c r="BM226" s="2"/>
    </row>
    <row r="227" spans="3:65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L227" s="2"/>
      <c r="BM227" s="2"/>
    </row>
    <row r="228" spans="3:65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L228" s="2"/>
      <c r="BM228" s="2"/>
    </row>
    <row r="229" spans="3:65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L229" s="2"/>
      <c r="BM229" s="2"/>
    </row>
    <row r="230" spans="3:65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L230" s="2"/>
      <c r="BM230" s="2"/>
    </row>
    <row r="231" spans="3:65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L231" s="2"/>
      <c r="BM231" s="2"/>
    </row>
    <row r="232" spans="3:65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L232" s="2"/>
      <c r="BM232" s="2"/>
    </row>
    <row r="233" spans="3:65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L233" s="2"/>
      <c r="BM233" s="2"/>
    </row>
    <row r="234" spans="3:65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L234" s="2"/>
      <c r="BM234" s="2"/>
    </row>
    <row r="235" spans="3:65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L235" s="2"/>
      <c r="BM235" s="2"/>
    </row>
    <row r="236" spans="3:65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L236" s="2"/>
      <c r="BM236" s="2"/>
    </row>
    <row r="237" spans="3:65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L237" s="2"/>
      <c r="BM237" s="2"/>
    </row>
    <row r="238" spans="3:65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L238" s="2"/>
      <c r="BM238" s="2"/>
    </row>
    <row r="239" spans="3:65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L239" s="2"/>
      <c r="BM239" s="2"/>
    </row>
    <row r="240" spans="3:65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L240" s="2"/>
      <c r="BM240" s="2"/>
    </row>
    <row r="241" spans="3:65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L241" s="2"/>
      <c r="BM241" s="2"/>
    </row>
    <row r="242" spans="3:65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L242" s="2"/>
      <c r="BM242" s="2"/>
    </row>
    <row r="243" spans="3:65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L243" s="2"/>
      <c r="BM243" s="2"/>
    </row>
    <row r="244" spans="3:65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L244" s="2"/>
      <c r="BM244" s="2"/>
    </row>
    <row r="245" spans="3:65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L245" s="2"/>
      <c r="BM245" s="2"/>
    </row>
    <row r="246" spans="3:65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L246" s="2"/>
      <c r="BM246" s="2"/>
    </row>
    <row r="247" spans="3:65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L247" s="2"/>
      <c r="BM247" s="2"/>
    </row>
    <row r="248" spans="3:65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L248" s="2"/>
      <c r="BM248" s="2"/>
    </row>
    <row r="249" spans="3:65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L249" s="2"/>
      <c r="BM249" s="2"/>
    </row>
    <row r="250" spans="3:65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L250" s="2"/>
      <c r="BM250" s="2"/>
    </row>
    <row r="251" spans="3:65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L251" s="2"/>
      <c r="BM251" s="2"/>
    </row>
    <row r="252" spans="3:65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L252" s="2"/>
      <c r="BM252" s="2"/>
    </row>
    <row r="253" spans="3:65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L253" s="2"/>
      <c r="BM253" s="2"/>
    </row>
    <row r="254" spans="3:65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L254" s="2"/>
      <c r="BM254" s="2"/>
    </row>
    <row r="255" spans="3:65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L255" s="2"/>
      <c r="BM255" s="2"/>
    </row>
    <row r="256" spans="3:65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L256" s="2"/>
      <c r="BM256" s="2"/>
    </row>
    <row r="257" spans="3:65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L257" s="2"/>
      <c r="BM257" s="2"/>
    </row>
    <row r="258" spans="3:65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L258" s="2"/>
      <c r="BM258" s="2"/>
    </row>
    <row r="259" spans="3:65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L259" s="2"/>
      <c r="BM259" s="2"/>
    </row>
    <row r="260" spans="3:65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L260" s="2"/>
      <c r="BM260" s="2"/>
    </row>
    <row r="261" spans="3:65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L261" s="2"/>
      <c r="BM261" s="2"/>
    </row>
    <row r="262" spans="3:65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L262" s="2"/>
      <c r="BM262" s="2"/>
    </row>
    <row r="263" spans="3:65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L263" s="2"/>
      <c r="BM263" s="2"/>
    </row>
    <row r="264" spans="3:65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L264" s="2"/>
      <c r="BM264" s="2"/>
    </row>
    <row r="265" spans="3:65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L265" s="2"/>
      <c r="BM265" s="2"/>
    </row>
    <row r="266" spans="3:65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L266" s="2"/>
      <c r="BM266" s="2"/>
    </row>
    <row r="267" spans="3:65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L267" s="2"/>
      <c r="BM267" s="2"/>
    </row>
    <row r="268" spans="3:65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L268" s="2"/>
      <c r="BM268" s="2"/>
    </row>
    <row r="269" spans="3:65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L269" s="2"/>
      <c r="BM269" s="2"/>
    </row>
    <row r="270" spans="3:65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L270" s="2"/>
      <c r="BM270" s="2"/>
    </row>
    <row r="271" spans="3:65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L271" s="2"/>
      <c r="BM271" s="2"/>
    </row>
    <row r="272" spans="3:65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L272" s="2"/>
      <c r="BM272" s="2"/>
    </row>
    <row r="273" spans="3:65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L273" s="2"/>
      <c r="BM273" s="2"/>
    </row>
    <row r="274" spans="3:65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L274" s="2"/>
      <c r="BM274" s="2"/>
    </row>
    <row r="275" spans="3:65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L275" s="2"/>
      <c r="BM275" s="2"/>
    </row>
    <row r="276" spans="3:65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L276" s="2"/>
      <c r="BM276" s="2"/>
    </row>
    <row r="277" spans="3:65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L277" s="2"/>
      <c r="BM277" s="2"/>
    </row>
    <row r="278" spans="3:65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L278" s="2"/>
      <c r="BM278" s="2"/>
    </row>
    <row r="279" spans="3:65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L279" s="2"/>
      <c r="BM279" s="2"/>
    </row>
    <row r="280" spans="3:6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L280" s="2"/>
      <c r="BM280" s="2"/>
    </row>
    <row r="281" spans="3:65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L281" s="2"/>
      <c r="BM281" s="2"/>
    </row>
    <row r="282" spans="3:65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L282" s="2"/>
      <c r="BM282" s="2"/>
    </row>
    <row r="283" spans="3:65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L283" s="2"/>
      <c r="BM283" s="2"/>
    </row>
    <row r="284" spans="3:65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L284" s="2"/>
      <c r="BM284" s="2"/>
    </row>
    <row r="285" spans="3:65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L285" s="2"/>
      <c r="BM285" s="2"/>
    </row>
    <row r="286" spans="3:65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L286" s="2"/>
      <c r="BM286" s="2"/>
    </row>
    <row r="287" spans="3:65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L287" s="2"/>
      <c r="BM287" s="2"/>
    </row>
    <row r="288" spans="3:65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L288" s="2"/>
      <c r="BM288" s="2"/>
    </row>
    <row r="289" spans="3:65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L289" s="2"/>
      <c r="BM289" s="2"/>
    </row>
    <row r="290" spans="3:65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L290" s="2"/>
      <c r="BM290" s="2"/>
    </row>
    <row r="291" spans="3:65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L291" s="2"/>
      <c r="BM291" s="2"/>
    </row>
    <row r="292" spans="3:65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L292" s="2"/>
      <c r="BM292" s="2"/>
    </row>
    <row r="293" spans="3:65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L293" s="2"/>
      <c r="BM293" s="2"/>
    </row>
    <row r="294" spans="3:65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L294" s="2"/>
      <c r="BM294" s="2"/>
    </row>
    <row r="295" spans="3:65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L295" s="2"/>
      <c r="BM295" s="2"/>
    </row>
    <row r="296" spans="3:65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L296" s="2"/>
      <c r="BM296" s="2"/>
    </row>
    <row r="297" spans="3:65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L297" s="2"/>
      <c r="BM297" s="2"/>
    </row>
    <row r="298" spans="3:65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L298" s="2"/>
      <c r="BM298" s="2"/>
    </row>
    <row r="299" spans="3:65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L299" s="2"/>
      <c r="BM299" s="2"/>
    </row>
    <row r="300" spans="3:65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L300" s="2"/>
      <c r="BM300" s="2"/>
    </row>
    <row r="301" spans="3:65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L301" s="2"/>
      <c r="BM301" s="2"/>
    </row>
    <row r="302" spans="3:65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L302" s="2"/>
      <c r="BM302" s="2"/>
    </row>
    <row r="303" spans="3:65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L303" s="2"/>
      <c r="BM303" s="2"/>
    </row>
    <row r="304" spans="3:65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L304" s="2"/>
      <c r="BM304" s="2"/>
    </row>
    <row r="305" spans="3:65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L305" s="2"/>
      <c r="BM305" s="2"/>
    </row>
    <row r="306" spans="3:65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L306" s="2"/>
      <c r="BM306" s="2"/>
    </row>
    <row r="307" spans="3:65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L307" s="2"/>
      <c r="BM307" s="2"/>
    </row>
    <row r="308" spans="3:65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L308" s="2"/>
      <c r="BM308" s="2"/>
    </row>
    <row r="309" spans="3:65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L309" s="2"/>
      <c r="BM309" s="2"/>
    </row>
    <row r="310" spans="3:65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L310" s="2"/>
      <c r="BM310" s="2"/>
    </row>
    <row r="311" spans="3:65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L311" s="2"/>
      <c r="BM311" s="2"/>
    </row>
    <row r="312" spans="3:65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L312" s="2"/>
      <c r="BM312" s="2"/>
    </row>
    <row r="313" spans="3:65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L313" s="2"/>
      <c r="BM313" s="2"/>
    </row>
    <row r="314" spans="3:65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L314" s="2"/>
      <c r="BM314" s="2"/>
    </row>
    <row r="315" spans="3:65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L315" s="2"/>
      <c r="BM315" s="2"/>
    </row>
    <row r="316" spans="3:65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L316" s="2"/>
      <c r="BM316" s="2"/>
    </row>
    <row r="317" spans="3:65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L317" s="2"/>
      <c r="BM317" s="2"/>
    </row>
    <row r="318" spans="3:65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L318" s="2"/>
      <c r="BM318" s="2"/>
    </row>
    <row r="319" spans="3:65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L319" s="2"/>
      <c r="BM319" s="2"/>
    </row>
    <row r="320" spans="3:65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L320" s="2"/>
      <c r="BM320" s="2"/>
    </row>
    <row r="321" spans="3:65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L321" s="2"/>
      <c r="BM321" s="2"/>
    </row>
    <row r="322" spans="3:65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L322" s="2"/>
      <c r="BM322" s="2"/>
    </row>
    <row r="323" spans="3:65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L323" s="2"/>
      <c r="BM323" s="2"/>
    </row>
    <row r="324" spans="3:65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L324" s="2"/>
      <c r="BM324" s="2"/>
    </row>
    <row r="325" spans="3:65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L325" s="2"/>
      <c r="BM325" s="2"/>
    </row>
    <row r="326" spans="3:65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L326" s="2"/>
      <c r="BM326" s="2"/>
    </row>
    <row r="327" spans="3:65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L327" s="2"/>
      <c r="BM327" s="2"/>
    </row>
    <row r="328" spans="3:65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L328" s="2"/>
      <c r="BM328" s="2"/>
    </row>
    <row r="329" spans="3:65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L329" s="2"/>
      <c r="BM329" s="2"/>
    </row>
    <row r="330" spans="3:65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L330" s="2"/>
      <c r="BM330" s="2"/>
    </row>
    <row r="331" spans="3:65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L331" s="2"/>
      <c r="BM331" s="2"/>
    </row>
    <row r="332" spans="3:65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L332" s="2"/>
      <c r="BM332" s="2"/>
    </row>
    <row r="333" spans="3:65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L333" s="2"/>
      <c r="BM333" s="2"/>
    </row>
    <row r="334" spans="3:65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L334" s="2"/>
      <c r="BM334" s="2"/>
    </row>
    <row r="335" spans="3:65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L335" s="2"/>
      <c r="BM335" s="2"/>
    </row>
    <row r="336" spans="3:65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L336" s="2"/>
      <c r="BM336" s="2"/>
    </row>
    <row r="337" spans="3:65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L337" s="2"/>
      <c r="BM337" s="2"/>
    </row>
    <row r="338" spans="3:65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L338" s="2"/>
      <c r="BM338" s="2"/>
    </row>
    <row r="339" spans="3:65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L339" s="2"/>
      <c r="BM339" s="2"/>
    </row>
    <row r="340" spans="3:65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L340" s="2"/>
      <c r="BM340" s="2"/>
    </row>
    <row r="341" spans="3:65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L341" s="2"/>
      <c r="BM341" s="2"/>
    </row>
    <row r="342" spans="3:65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L342" s="2"/>
      <c r="BM342" s="2"/>
    </row>
    <row r="343" spans="3:65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L343" s="2"/>
      <c r="BM343" s="2"/>
    </row>
    <row r="344" spans="3:65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L344" s="2"/>
      <c r="BM344" s="2"/>
    </row>
    <row r="345" spans="3:65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L345" s="2"/>
      <c r="BM345" s="2"/>
    </row>
    <row r="346" spans="3:65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L346" s="2"/>
      <c r="BM346" s="2"/>
    </row>
    <row r="347" spans="3:65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L347" s="2"/>
      <c r="BM347" s="2"/>
    </row>
    <row r="348" spans="3:65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L348" s="2"/>
      <c r="BM348" s="2"/>
    </row>
    <row r="349" spans="3:65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L349" s="2"/>
      <c r="BM349" s="2"/>
    </row>
    <row r="350" spans="3:65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L350" s="2"/>
      <c r="BM350" s="2"/>
    </row>
    <row r="351" spans="3:65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L351" s="2"/>
      <c r="BM351" s="2"/>
    </row>
    <row r="352" spans="3:65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L352" s="2"/>
      <c r="BM352" s="2"/>
    </row>
    <row r="353" spans="3:65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L353" s="2"/>
      <c r="BM353" s="2"/>
    </row>
    <row r="354" spans="3:65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L354" s="2"/>
      <c r="BM354" s="2"/>
    </row>
    <row r="355" spans="3:65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L355" s="2"/>
      <c r="BM355" s="2"/>
    </row>
    <row r="356" spans="3:65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L356" s="2"/>
      <c r="BM356" s="2"/>
    </row>
    <row r="357" spans="3:65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L357" s="2"/>
      <c r="BM357" s="2"/>
    </row>
    <row r="358" spans="3:65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L358" s="2"/>
      <c r="BM358" s="2"/>
    </row>
    <row r="359" spans="3:65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L359" s="2"/>
      <c r="BM359" s="2"/>
    </row>
    <row r="360" spans="3:65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L360" s="2"/>
      <c r="BM360" s="2"/>
    </row>
    <row r="361" spans="3:65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L361" s="2"/>
      <c r="BM361" s="2"/>
    </row>
    <row r="362" spans="3:65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L362" s="2"/>
      <c r="BM362" s="2"/>
    </row>
    <row r="363" spans="3:65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L363" s="2"/>
      <c r="BM363" s="2"/>
    </row>
    <row r="364" spans="3:65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L364" s="2"/>
      <c r="BM364" s="2"/>
    </row>
    <row r="365" spans="3:65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L365" s="2"/>
      <c r="BM365" s="2"/>
    </row>
    <row r="366" spans="3:65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L366" s="2"/>
      <c r="BM366" s="2"/>
    </row>
    <row r="367" spans="3:65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L367" s="2"/>
      <c r="BM367" s="2"/>
    </row>
    <row r="368" spans="3:65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L368" s="2"/>
      <c r="BM368" s="2"/>
    </row>
    <row r="369" spans="3:65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L369" s="2"/>
      <c r="BM369" s="2"/>
    </row>
    <row r="370" spans="3:65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L370" s="2"/>
      <c r="BM370" s="2"/>
    </row>
    <row r="371" spans="3:65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L371" s="2"/>
      <c r="BM371" s="2"/>
    </row>
    <row r="372" spans="3:65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L372" s="2"/>
      <c r="BM372" s="2"/>
    </row>
    <row r="373" spans="3:65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L373" s="2"/>
      <c r="BM373" s="2"/>
    </row>
    <row r="374" spans="3:65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L374" s="2"/>
      <c r="BM374" s="2"/>
    </row>
    <row r="375" spans="3:65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L375" s="2"/>
      <c r="BM375" s="2"/>
    </row>
    <row r="376" spans="3:65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L376" s="2"/>
      <c r="BM376" s="2"/>
    </row>
    <row r="377" spans="3:65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L377" s="2"/>
      <c r="BM377" s="2"/>
    </row>
    <row r="378" spans="3:65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L378" s="2"/>
      <c r="BM378" s="2"/>
    </row>
    <row r="379" spans="3:65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L379" s="2"/>
      <c r="BM379" s="2"/>
    </row>
    <row r="380" spans="3:65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L380" s="2"/>
      <c r="BM380" s="2"/>
    </row>
    <row r="381" spans="3:65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L381" s="2"/>
      <c r="BM381" s="2"/>
    </row>
    <row r="382" spans="3:65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L382" s="2"/>
      <c r="BM382" s="2"/>
    </row>
    <row r="383" spans="3:65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L383" s="2"/>
      <c r="BM383" s="2"/>
    </row>
    <row r="384" spans="3:65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L384" s="2"/>
      <c r="BM384" s="2"/>
    </row>
    <row r="385" spans="3:65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L385" s="2"/>
      <c r="BM385" s="2"/>
    </row>
    <row r="386" spans="3:65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L386" s="2"/>
      <c r="BM386" s="2"/>
    </row>
    <row r="387" spans="3:65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L387" s="2"/>
      <c r="BM387" s="2"/>
    </row>
    <row r="388" spans="3:65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L388" s="2"/>
      <c r="BM388" s="2"/>
    </row>
    <row r="389" spans="3:65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L389" s="2"/>
      <c r="BM389" s="2"/>
    </row>
    <row r="390" spans="3:65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L390" s="2"/>
      <c r="BM390" s="2"/>
    </row>
    <row r="391" spans="3:65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L391" s="2"/>
      <c r="BM391" s="2"/>
    </row>
    <row r="392" spans="3:65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L392" s="2"/>
      <c r="BM392" s="2"/>
    </row>
    <row r="393" spans="3:65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L393" s="2"/>
      <c r="BM393" s="2"/>
    </row>
    <row r="394" spans="3:65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L394" s="2"/>
      <c r="BM394" s="2"/>
    </row>
    <row r="395" spans="3:65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L395" s="2"/>
      <c r="BM395" s="2"/>
    </row>
    <row r="396" spans="3:65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L396" s="2"/>
      <c r="BM396" s="2"/>
    </row>
    <row r="397" spans="3:65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L397" s="2"/>
      <c r="BM397" s="2"/>
    </row>
    <row r="398" spans="3:65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L398" s="2"/>
      <c r="BM398" s="2"/>
    </row>
    <row r="399" spans="3:65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L399" s="2"/>
      <c r="BM399" s="2"/>
    </row>
    <row r="400" spans="3:65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L400" s="2"/>
      <c r="BM400" s="2"/>
    </row>
    <row r="401" spans="3:65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L401" s="2"/>
      <c r="BM401" s="2"/>
    </row>
    <row r="402" spans="3:65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L402" s="2"/>
      <c r="BM402" s="2"/>
    </row>
    <row r="403" spans="3:65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L403" s="2"/>
      <c r="BM403" s="2"/>
    </row>
    <row r="404" spans="3:65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L404" s="2"/>
      <c r="BM404" s="2"/>
    </row>
    <row r="405" spans="3:65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L405" s="2"/>
      <c r="BM405" s="2"/>
    </row>
    <row r="406" spans="3:65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L406" s="2"/>
      <c r="BM406" s="2"/>
    </row>
    <row r="407" spans="3:65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L407" s="2"/>
      <c r="BM407" s="2"/>
    </row>
    <row r="408" spans="3:65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L408" s="2"/>
      <c r="BM408" s="2"/>
    </row>
    <row r="409" spans="3:65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L409" s="2"/>
      <c r="BM409" s="2"/>
    </row>
    <row r="410" spans="3:65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L410" s="2"/>
      <c r="BM410" s="2"/>
    </row>
    <row r="411" spans="3:65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L411" s="2"/>
      <c r="BM411" s="2"/>
    </row>
    <row r="412" spans="3:65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L412" s="2"/>
      <c r="BM412" s="2"/>
    </row>
    <row r="413" spans="3:65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L413" s="2"/>
      <c r="BM413" s="2"/>
    </row>
    <row r="414" spans="3:65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L414" s="2"/>
      <c r="BM414" s="2"/>
    </row>
    <row r="415" spans="3:65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L415" s="2"/>
      <c r="BM415" s="2"/>
    </row>
    <row r="416" spans="3:65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L416" s="2"/>
      <c r="BM416" s="2"/>
    </row>
    <row r="417" spans="3:65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L417" s="2"/>
      <c r="BM417" s="2"/>
    </row>
    <row r="418" spans="3:65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L418" s="2"/>
      <c r="BM418" s="2"/>
    </row>
    <row r="419" spans="3:65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L419" s="2"/>
      <c r="BM419" s="2"/>
    </row>
    <row r="420" spans="3:65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L420" s="2"/>
      <c r="BM420" s="2"/>
    </row>
    <row r="421" spans="3:65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L421" s="2"/>
      <c r="BM421" s="2"/>
    </row>
    <row r="422" spans="3:65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L422" s="2"/>
      <c r="BM422" s="2"/>
    </row>
    <row r="423" spans="3:65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L423" s="2"/>
      <c r="BM423" s="2"/>
    </row>
    <row r="424" spans="3:65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L424" s="2"/>
      <c r="BM424" s="2"/>
    </row>
    <row r="425" spans="3:65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L425" s="2"/>
      <c r="BM425" s="2"/>
    </row>
    <row r="426" spans="3:65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L426" s="2"/>
      <c r="BM426" s="2"/>
    </row>
    <row r="427" spans="3:65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L427" s="2"/>
      <c r="BM427" s="2"/>
    </row>
    <row r="428" spans="3:65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L428" s="2"/>
      <c r="BM428" s="2"/>
    </row>
    <row r="429" spans="3:65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L429" s="2"/>
      <c r="BM429" s="2"/>
    </row>
    <row r="430" spans="3:65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L430" s="2"/>
      <c r="BM430" s="2"/>
    </row>
    <row r="431" spans="3:65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L431" s="2"/>
      <c r="BM431" s="2"/>
    </row>
    <row r="432" spans="3:65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L432" s="2"/>
      <c r="BM432" s="2"/>
    </row>
    <row r="433" spans="3:65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L433" s="2"/>
      <c r="BM433" s="2"/>
    </row>
    <row r="434" spans="3:65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L434" s="2"/>
      <c r="BM434" s="2"/>
    </row>
    <row r="435" spans="3:65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L435" s="2"/>
      <c r="BM435" s="2"/>
    </row>
    <row r="436" spans="3:65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L436" s="2"/>
      <c r="BM436" s="2"/>
    </row>
    <row r="437" spans="3:65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L437" s="2"/>
      <c r="BM437" s="2"/>
    </row>
    <row r="438" spans="3:65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L438" s="2"/>
      <c r="BM438" s="2"/>
    </row>
    <row r="439" spans="3:65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L439" s="2"/>
      <c r="BM439" s="2"/>
    </row>
    <row r="440" spans="3:65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L440" s="2"/>
      <c r="BM440" s="2"/>
    </row>
    <row r="441" spans="3:65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L441" s="2"/>
      <c r="BM441" s="2"/>
    </row>
    <row r="442" spans="3:65" x14ac:dyDescent="0.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L442" s="2"/>
      <c r="BM442" s="2"/>
    </row>
    <row r="443" spans="3:65" x14ac:dyDescent="0.2">
      <c r="BL443" s="2"/>
      <c r="BM443" s="2"/>
    </row>
    <row r="444" spans="3:65" x14ac:dyDescent="0.2">
      <c r="BL444" s="2"/>
      <c r="BM444" s="2"/>
    </row>
    <row r="445" spans="3:65" x14ac:dyDescent="0.2">
      <c r="BL445" s="2"/>
      <c r="BM445" s="2"/>
    </row>
    <row r="446" spans="3:65" x14ac:dyDescent="0.2">
      <c r="BL446" s="2"/>
      <c r="BM446" s="2"/>
    </row>
    <row r="447" spans="3:65" x14ac:dyDescent="0.2">
      <c r="BL447" s="2"/>
      <c r="BM447" s="2"/>
    </row>
    <row r="448" spans="3:65" x14ac:dyDescent="0.2">
      <c r="BL448" s="2"/>
      <c r="BM448" s="2"/>
    </row>
    <row r="449" spans="64:65" x14ac:dyDescent="0.2">
      <c r="BL449" s="2"/>
      <c r="BM449" s="2"/>
    </row>
    <row r="450" spans="64:65" x14ac:dyDescent="0.2">
      <c r="BL450" s="2"/>
      <c r="BM450" s="2"/>
    </row>
    <row r="451" spans="64:65" x14ac:dyDescent="0.2">
      <c r="BL451" s="2"/>
      <c r="BM451" s="2"/>
    </row>
    <row r="452" spans="64:65" x14ac:dyDescent="0.2">
      <c r="BL452" s="2"/>
      <c r="BM452" s="2"/>
    </row>
    <row r="453" spans="64:65" x14ac:dyDescent="0.2">
      <c r="BL453" s="2"/>
      <c r="BM453" s="2"/>
    </row>
    <row r="454" spans="64:65" x14ac:dyDescent="0.2">
      <c r="BL454" s="2"/>
      <c r="BM454" s="2"/>
    </row>
    <row r="455" spans="64:65" x14ac:dyDescent="0.2">
      <c r="BL455" s="2"/>
      <c r="BM455" s="2"/>
    </row>
    <row r="456" spans="64:65" x14ac:dyDescent="0.2">
      <c r="BL456" s="2"/>
      <c r="BM456" s="2"/>
    </row>
    <row r="457" spans="64:65" x14ac:dyDescent="0.2">
      <c r="BL457" s="2"/>
      <c r="BM457" s="2"/>
    </row>
    <row r="458" spans="64:65" x14ac:dyDescent="0.2">
      <c r="BL458" s="2"/>
      <c r="BM458" s="2"/>
    </row>
    <row r="459" spans="64:65" x14ac:dyDescent="0.2">
      <c r="BL459" s="2"/>
      <c r="BM459" s="2"/>
    </row>
    <row r="460" spans="64:65" x14ac:dyDescent="0.2">
      <c r="BL460" s="2"/>
      <c r="BM460" s="2"/>
    </row>
    <row r="461" spans="64:65" x14ac:dyDescent="0.2">
      <c r="BL461" s="2"/>
      <c r="BM461" s="2"/>
    </row>
    <row r="462" spans="64:65" x14ac:dyDescent="0.2">
      <c r="BL462" s="2"/>
      <c r="BM462" s="2"/>
    </row>
    <row r="463" spans="64:65" x14ac:dyDescent="0.2">
      <c r="BL463" s="2"/>
      <c r="BM463" s="2"/>
    </row>
    <row r="464" spans="64:65" x14ac:dyDescent="0.2">
      <c r="BL464" s="2"/>
      <c r="BM464" s="2"/>
    </row>
    <row r="465" spans="64:65" x14ac:dyDescent="0.2">
      <c r="BL465" s="2"/>
      <c r="BM465" s="2"/>
    </row>
    <row r="466" spans="64:65" x14ac:dyDescent="0.2">
      <c r="BL466" s="2"/>
      <c r="BM466" s="2"/>
    </row>
    <row r="467" spans="64:65" x14ac:dyDescent="0.2">
      <c r="BL467" s="2"/>
      <c r="BM467" s="2"/>
    </row>
    <row r="468" spans="64:65" x14ac:dyDescent="0.2">
      <c r="BL468" s="2"/>
      <c r="BM468" s="2"/>
    </row>
    <row r="469" spans="64:65" x14ac:dyDescent="0.2">
      <c r="BL469" s="2"/>
      <c r="BM469" s="2"/>
    </row>
    <row r="470" spans="64:65" x14ac:dyDescent="0.2">
      <c r="BL470" s="2"/>
      <c r="BM470" s="2"/>
    </row>
    <row r="471" spans="64:65" x14ac:dyDescent="0.2">
      <c r="BL471" s="2"/>
      <c r="BM471" s="2"/>
    </row>
    <row r="472" spans="64:65" x14ac:dyDescent="0.2">
      <c r="BL472" s="2"/>
      <c r="BM472" s="2"/>
    </row>
    <row r="473" spans="64:65" x14ac:dyDescent="0.2">
      <c r="BL473" s="2"/>
      <c r="BM473" s="2"/>
    </row>
    <row r="474" spans="64:65" x14ac:dyDescent="0.2">
      <c r="BL474" s="2"/>
      <c r="BM474" s="2"/>
    </row>
    <row r="475" spans="64:65" x14ac:dyDescent="0.2">
      <c r="BL475" s="2"/>
      <c r="BM475" s="2"/>
    </row>
    <row r="476" spans="64:65" x14ac:dyDescent="0.2">
      <c r="BL476" s="2"/>
      <c r="BM476" s="2"/>
    </row>
    <row r="477" spans="64:65" x14ac:dyDescent="0.2">
      <c r="BL477" s="2"/>
      <c r="BM477" s="2"/>
    </row>
    <row r="478" spans="64:65" x14ac:dyDescent="0.2">
      <c r="BL478" s="2"/>
      <c r="BM478" s="2"/>
    </row>
    <row r="479" spans="64:65" x14ac:dyDescent="0.2">
      <c r="BL479" s="2"/>
      <c r="BM479" s="2"/>
    </row>
    <row r="480" spans="64:65" x14ac:dyDescent="0.2">
      <c r="BL480" s="2"/>
      <c r="BM480" s="2"/>
    </row>
    <row r="481" spans="64:65" x14ac:dyDescent="0.2">
      <c r="BL481" s="2"/>
      <c r="BM481" s="2"/>
    </row>
    <row r="482" spans="64:65" x14ac:dyDescent="0.2">
      <c r="BL482" s="2"/>
      <c r="BM482" s="2"/>
    </row>
    <row r="483" spans="64:65" x14ac:dyDescent="0.2">
      <c r="BL483" s="2"/>
      <c r="BM483" s="2"/>
    </row>
    <row r="484" spans="64:65" x14ac:dyDescent="0.2">
      <c r="BL484" s="2"/>
      <c r="BM484" s="2"/>
    </row>
    <row r="485" spans="64:65" x14ac:dyDescent="0.2">
      <c r="BL485" s="2"/>
      <c r="BM485" s="2"/>
    </row>
    <row r="486" spans="64:65" x14ac:dyDescent="0.2">
      <c r="BL486" s="2"/>
      <c r="BM486" s="2"/>
    </row>
    <row r="487" spans="64:65" x14ac:dyDescent="0.2">
      <c r="BL487" s="2"/>
      <c r="BM487" s="2"/>
    </row>
    <row r="488" spans="64:65" x14ac:dyDescent="0.2">
      <c r="BL488" s="2"/>
      <c r="BM488" s="2"/>
    </row>
    <row r="489" spans="64:65" x14ac:dyDescent="0.2">
      <c r="BL489" s="2"/>
      <c r="BM489" s="2"/>
    </row>
    <row r="490" spans="64:65" x14ac:dyDescent="0.2">
      <c r="BL490" s="2"/>
      <c r="BM490" s="2"/>
    </row>
    <row r="491" spans="64:65" x14ac:dyDescent="0.2">
      <c r="BL491" s="2"/>
      <c r="BM491" s="2"/>
    </row>
    <row r="492" spans="64:65" x14ac:dyDescent="0.2">
      <c r="BL492" s="2"/>
      <c r="BM492" s="2"/>
    </row>
    <row r="493" spans="64:65" x14ac:dyDescent="0.2">
      <c r="BL493" s="2"/>
      <c r="BM493" s="2"/>
    </row>
    <row r="494" spans="64:65" x14ac:dyDescent="0.2">
      <c r="BL494" s="2"/>
      <c r="BM494" s="2"/>
    </row>
    <row r="495" spans="64:65" x14ac:dyDescent="0.2">
      <c r="BL495" s="2"/>
      <c r="BM495" s="2"/>
    </row>
    <row r="496" spans="64:65" x14ac:dyDescent="0.2">
      <c r="BL496" s="2"/>
      <c r="BM496" s="2"/>
    </row>
    <row r="497" spans="64:65" x14ac:dyDescent="0.2">
      <c r="BL497" s="2"/>
      <c r="BM497" s="2"/>
    </row>
    <row r="498" spans="64:65" x14ac:dyDescent="0.2">
      <c r="BL498" s="2"/>
      <c r="BM498" s="2"/>
    </row>
    <row r="499" spans="64:65" x14ac:dyDescent="0.2">
      <c r="BL499" s="2"/>
      <c r="BM499" s="2"/>
    </row>
    <row r="500" spans="64:65" x14ac:dyDescent="0.2">
      <c r="BL500" s="2"/>
      <c r="BM500" s="2"/>
    </row>
    <row r="501" spans="64:65" x14ac:dyDescent="0.2">
      <c r="BL501" s="2"/>
      <c r="BM501" s="2"/>
    </row>
    <row r="502" spans="64:65" x14ac:dyDescent="0.2">
      <c r="BL502" s="2"/>
      <c r="BM502" s="2"/>
    </row>
    <row r="503" spans="64:65" x14ac:dyDescent="0.2">
      <c r="BL503" s="2"/>
      <c r="BM503" s="2"/>
    </row>
    <row r="504" spans="64:65" x14ac:dyDescent="0.2">
      <c r="BL504" s="2"/>
      <c r="BM504" s="2"/>
    </row>
    <row r="505" spans="64:65" x14ac:dyDescent="0.2">
      <c r="BL505" s="2"/>
      <c r="BM505" s="2"/>
    </row>
    <row r="506" spans="64:65" x14ac:dyDescent="0.2">
      <c r="BL506" s="2"/>
      <c r="BM506" s="2"/>
    </row>
    <row r="507" spans="64:65" x14ac:dyDescent="0.2">
      <c r="BL507" s="2"/>
      <c r="BM507" s="2"/>
    </row>
    <row r="508" spans="64:65" x14ac:dyDescent="0.2">
      <c r="BL508" s="2"/>
      <c r="BM508" s="2"/>
    </row>
    <row r="509" spans="64:65" x14ac:dyDescent="0.2">
      <c r="BL509" s="2"/>
      <c r="BM509" s="2"/>
    </row>
    <row r="510" spans="64:65" x14ac:dyDescent="0.2">
      <c r="BL510" s="2"/>
      <c r="BM510" s="2"/>
    </row>
    <row r="511" spans="64:65" x14ac:dyDescent="0.2">
      <c r="BL511" s="2"/>
      <c r="BM511" s="2"/>
    </row>
    <row r="512" spans="64:65" x14ac:dyDescent="0.2">
      <c r="BL512" s="2"/>
      <c r="BM512" s="2"/>
    </row>
    <row r="513" spans="64:65" x14ac:dyDescent="0.2">
      <c r="BL513" s="2"/>
      <c r="BM513" s="2"/>
    </row>
    <row r="514" spans="64:65" x14ac:dyDescent="0.2">
      <c r="BL514" s="2"/>
      <c r="BM514" s="2"/>
    </row>
    <row r="515" spans="64:65" x14ac:dyDescent="0.2">
      <c r="BL515" s="2"/>
      <c r="BM515" s="2"/>
    </row>
    <row r="516" spans="64:65" x14ac:dyDescent="0.2">
      <c r="BL516" s="2"/>
      <c r="BM516" s="2"/>
    </row>
    <row r="517" spans="64:65" x14ac:dyDescent="0.2">
      <c r="BL517" s="2"/>
      <c r="BM517" s="2"/>
    </row>
    <row r="518" spans="64:65" x14ac:dyDescent="0.2">
      <c r="BL518" s="2"/>
      <c r="BM518" s="2"/>
    </row>
    <row r="519" spans="64:65" x14ac:dyDescent="0.2">
      <c r="BL519" s="2"/>
      <c r="BM519" s="2"/>
    </row>
    <row r="520" spans="64:65" x14ac:dyDescent="0.2">
      <c r="BL520" s="2"/>
      <c r="BM520" s="2"/>
    </row>
    <row r="521" spans="64:65" x14ac:dyDescent="0.2">
      <c r="BL521" s="2"/>
      <c r="BM521" s="2"/>
    </row>
    <row r="522" spans="64:65" x14ac:dyDescent="0.2">
      <c r="BL522" s="2"/>
      <c r="BM522" s="2"/>
    </row>
    <row r="523" spans="64:65" x14ac:dyDescent="0.2">
      <c r="BL523" s="2"/>
      <c r="BM523" s="2"/>
    </row>
    <row r="524" spans="64:65" x14ac:dyDescent="0.2">
      <c r="BL524" s="2"/>
      <c r="BM524" s="2"/>
    </row>
    <row r="525" spans="64:65" x14ac:dyDescent="0.2">
      <c r="BL525" s="2"/>
      <c r="BM525" s="2"/>
    </row>
    <row r="526" spans="64:65" x14ac:dyDescent="0.2">
      <c r="BL526" s="2"/>
      <c r="BM526" s="2"/>
    </row>
    <row r="527" spans="64:65" x14ac:dyDescent="0.2">
      <c r="BL527" s="2"/>
      <c r="BM527" s="2"/>
    </row>
    <row r="528" spans="64:65" x14ac:dyDescent="0.2">
      <c r="BL528" s="2"/>
      <c r="BM528" s="2"/>
    </row>
    <row r="529" spans="64:65" x14ac:dyDescent="0.2">
      <c r="BL529" s="2"/>
      <c r="BM529" s="2"/>
    </row>
    <row r="530" spans="64:65" x14ac:dyDescent="0.2">
      <c r="BL530" s="2"/>
      <c r="BM530" s="2"/>
    </row>
    <row r="531" spans="64:65" x14ac:dyDescent="0.2">
      <c r="BL531" s="2"/>
      <c r="BM531" s="2"/>
    </row>
    <row r="532" spans="64:65" x14ac:dyDescent="0.2">
      <c r="BL532" s="2"/>
      <c r="BM532" s="2"/>
    </row>
    <row r="533" spans="64:65" x14ac:dyDescent="0.2">
      <c r="BL533" s="2"/>
      <c r="BM533" s="2"/>
    </row>
    <row r="534" spans="64:65" x14ac:dyDescent="0.2">
      <c r="BL534" s="2"/>
      <c r="BM534" s="2"/>
    </row>
    <row r="535" spans="64:65" x14ac:dyDescent="0.2">
      <c r="BL535" s="2"/>
      <c r="BM535" s="2"/>
    </row>
    <row r="536" spans="64:65" x14ac:dyDescent="0.2">
      <c r="BL536" s="2"/>
      <c r="BM536" s="2"/>
    </row>
    <row r="537" spans="64:65" x14ac:dyDescent="0.2">
      <c r="BL537" s="2"/>
      <c r="BM537" s="2"/>
    </row>
    <row r="538" spans="64:65" x14ac:dyDescent="0.2">
      <c r="BL538" s="2"/>
      <c r="BM538" s="2"/>
    </row>
    <row r="539" spans="64:65" x14ac:dyDescent="0.2">
      <c r="BL539" s="2"/>
      <c r="BM539" s="2"/>
    </row>
    <row r="540" spans="64:65" x14ac:dyDescent="0.2">
      <c r="BL540" s="2"/>
      <c r="BM540" s="2"/>
    </row>
    <row r="541" spans="64:65" x14ac:dyDescent="0.2">
      <c r="BL541" s="2"/>
      <c r="BM541" s="2"/>
    </row>
    <row r="542" spans="64:65" x14ac:dyDescent="0.2">
      <c r="BL542" s="2"/>
      <c r="BM542" s="2"/>
    </row>
    <row r="543" spans="64:65" x14ac:dyDescent="0.2">
      <c r="BL543" s="2"/>
      <c r="BM543" s="2"/>
    </row>
  </sheetData>
  <mergeCells count="52">
    <mergeCell ref="A5:B7"/>
    <mergeCell ref="C5:F6"/>
    <mergeCell ref="G5:G6"/>
    <mergeCell ref="H5:K6"/>
    <mergeCell ref="L5:L6"/>
    <mergeCell ref="M5:P6"/>
    <mergeCell ref="Q5:Q6"/>
    <mergeCell ref="R5:U6"/>
    <mergeCell ref="V5:V6"/>
    <mergeCell ref="W5:Z6"/>
    <mergeCell ref="AA5:AA6"/>
    <mergeCell ref="AB5:AE6"/>
    <mergeCell ref="AF5:AF6"/>
    <mergeCell ref="AG5:AJ6"/>
    <mergeCell ref="AK5:AK6"/>
    <mergeCell ref="AL5:AO6"/>
    <mergeCell ref="AP5:AP6"/>
    <mergeCell ref="AQ5:AT6"/>
    <mergeCell ref="AU5:AU6"/>
    <mergeCell ref="AV5:AY6"/>
    <mergeCell ref="AZ5:AZ6"/>
    <mergeCell ref="BA5:BD6"/>
    <mergeCell ref="BE5:BE6"/>
    <mergeCell ref="BF5:BI6"/>
    <mergeCell ref="BJ5:BJ6"/>
    <mergeCell ref="BK5:BM6"/>
    <mergeCell ref="BN6:BO6"/>
    <mergeCell ref="D7:E7"/>
    <mergeCell ref="F7:G7"/>
    <mergeCell ref="I7:J7"/>
    <mergeCell ref="K7:L7"/>
    <mergeCell ref="N7:O7"/>
    <mergeCell ref="P7:Q7"/>
    <mergeCell ref="S7:T7"/>
    <mergeCell ref="U7:V7"/>
    <mergeCell ref="X7:Y7"/>
    <mergeCell ref="Z7:AA7"/>
    <mergeCell ref="AC7:AD7"/>
    <mergeCell ref="AE7:AF7"/>
    <mergeCell ref="AH7:AI7"/>
    <mergeCell ref="AJ7:AK7"/>
    <mergeCell ref="AM7:AN7"/>
    <mergeCell ref="AO7:AP7"/>
    <mergeCell ref="AR7:AS7"/>
    <mergeCell ref="AT7:AU7"/>
    <mergeCell ref="AW7:AX7"/>
    <mergeCell ref="BN7:BO7"/>
    <mergeCell ref="AY7:AZ7"/>
    <mergeCell ref="BB7:BC7"/>
    <mergeCell ref="BD7:BE7"/>
    <mergeCell ref="BG7:BH7"/>
    <mergeCell ref="BI7:BJ7"/>
  </mergeCells>
  <pageMargins left="0.78740157499999996" right="0.78740157499999996" top="0.984251969" bottom="0.984251969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FSC</vt:lpstr>
      <vt:lpstr>Annual Sum</vt:lpstr>
      <vt:lpstr>Reunido</vt:lpstr>
      <vt:lpstr>PAPER BASE</vt:lpstr>
      <vt:lpstr>IMPRESS DISE</vt:lpstr>
      <vt:lpstr>MUNKSJO DET</vt:lpstr>
      <vt:lpstr>TECHNOCELL</vt:lpstr>
      <vt:lpstr>KOEHLER</vt:lpstr>
      <vt:lpstr>MUNKSJO SPA</vt:lpstr>
      <vt:lpstr>CAIEIRAS</vt:lpstr>
      <vt:lpstr>VERDE FORTE</vt:lpstr>
    </vt:vector>
  </TitlesOfParts>
  <Company>Impress Decor Brasil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Nathany Lima Gonçalves Wojcik</cp:lastModifiedBy>
  <dcterms:created xsi:type="dcterms:W3CDTF">2014-04-04T13:27:36Z</dcterms:created>
  <dcterms:modified xsi:type="dcterms:W3CDTF">2026-07-02T14:05:19Z</dcterms:modified>
</cp:coreProperties>
</file>